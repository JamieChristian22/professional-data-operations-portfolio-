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29a41bb17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Close 24" sheetId="1" r:id="Rac4bb60d464542a2"/>
    <x:sheet xmlns:r="http://schemas.openxmlformats.org/officeDocument/2006/relationships" name="Posted Receipts" sheetId="2" r:id="Rf2fc5cc7ae064abe"/>
    <x:sheet xmlns:r="http://schemas.openxmlformats.org/officeDocument/2006/relationships" name="Approved Credits" sheetId="3" r:id="R327299273a2c4824"/>
    <x:sheet xmlns:r="http://schemas.openxmlformats.org/officeDocument/2006/relationships" name="Close Dashboard" sheetId="4" r:id="R72cb3d28763b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2B49"/>
      </x:patternFill>
    </x:fill>
    <x:fill>
      <x:patternFill patternType="solid">
        <x:fgColor rgb="FF087D8C"/>
      </x:patternFill>
    </x:fill>
    <x:fill>
      <x:patternFill patternType="solid">
        <x:fgColor rgb="FFEAF3F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2" fillId="2" borderId="0" xfId="0" applyNumberFormat="1" applyFont="1" applyFill="1" applyBorder="1"/>
    <x:xf numFmtId="200" fontId="0" fillId="0" borderId="1" xfId="0" applyNumberFormat="1" applyFont="1" applyFill="1" applyBorder="1"/>
    <x:xf numFmtId="20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bbe2ed2cb429e" /><Relationship Type="http://schemas.openxmlformats.org/officeDocument/2006/relationships/theme" Target="/xl/theme/theme1.xml" Id="R14f69f78c47e418b" /><Relationship Type="http://schemas.openxmlformats.org/officeDocument/2006/relationships/sharedStrings" Target="/xl/sharedStrings.xml" Id="R557c2c13fbb648dd" /><Relationship Type="http://schemas.openxmlformats.org/officeDocument/2006/relationships/worksheet" Target="/xl/worksheets/sheet1.xml" Id="Rac4bb60d464542a2" /><Relationship Type="http://schemas.openxmlformats.org/officeDocument/2006/relationships/worksheet" Target="/xl/worksheets/sheet2.xml" Id="Rf2fc5cc7ae064abe" /><Relationship Type="http://schemas.openxmlformats.org/officeDocument/2006/relationships/worksheet" Target="/xl/worksheets/sheet3.xml" Id="R327299273a2c4824" /><Relationship Type="http://schemas.openxmlformats.org/officeDocument/2006/relationships/worksheet" Target="/xl/worksheets/sheet4.xml" Id="R72cb3d28763b44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fabd66dea144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Receivables close composition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Amount</c:v>
          </c:tx>
          <c:cat>
            <c:strRef>
              <c:f>'Close Dashboard'!$A$14:$A$17</c:f>
              <c:strCache>
                <c:ptCount val="0"/>
              </c:strCache>
            </c:strRef>
          </c:cat>
          <c:val>
            <c:numRef>
              <c:f>'Close Dashboard'!$B$14:$B$17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fabd66dea144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30cb64fa9be48d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30" hidden="0" customWidth="1"/>
    <x:col min="4" max="4" width="13" hidden="0" customWidth="1"/>
    <x:col min="5" max="5" width="17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2" hidden="0" customWidth="1"/>
  </x:cols>
  <x:sheetData>
    <x:row r="1" ht="23" customHeight="1">
      <x:c r="A1" s="3" t="str">
        <x:v>BILLING &amp; RECEIVABLES | 24-INVOICE CONTROL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35" customHeight="1">
      <x:c r="A4" s="8" t="str">
        <x:v>Invoice</x:v>
      </x:c>
      <x:c r="B4" s="8" t="str">
        <x:v>Customer</x:v>
      </x:c>
      <x:c r="C4" s="8" t="str">
        <x:v>Service</x:v>
      </x:c>
      <x:c r="D4" s="8" t="str">
        <x:v>Units</x:v>
      </x:c>
      <x:c r="E4" s="8" t="str">
        <x:v>Unit rate</x:v>
      </x:c>
      <x:c r="F4" s="8" t="str">
        <x:v>Amount invoiced</x:v>
      </x:c>
      <x:c r="G4" s="8" t="str">
        <x:v>Posted receipts</x:v>
      </x:c>
      <x:c r="H4" s="8" t="str">
        <x:v>Approved credits</x:v>
      </x:c>
      <x:c r="I4" s="8" t="str">
        <x:v>Open balance</x:v>
      </x:c>
      <x:c r="J4" s="8" t="str">
        <x:v>Status</x:v>
      </x:c>
    </x:row>
    <x:row r="5">
      <x:c r="A5" t="str">
        <x:v>BILL-3101</x:v>
      </x:c>
      <x:c r="B5" t="str">
        <x:v>Sample Business 01</x:v>
      </x:c>
      <x:c r="C5" t="str">
        <x:v>Customer support hours</x:v>
      </x:c>
      <x:c r="D5" t="n">
        <x:v>4</x:v>
      </x:c>
      <x:c r="E5" s="14" t="n">
        <x:v>55</x:v>
      </x:c>
      <x:c r="F5" s="14" t="n">
        <x:f>D5*E5</x:f>
        <x:v>220</x:v>
      </x:c>
      <x:c r="G5" s="14" t="n">
        <x:f>SUMIF('Posted Receipts'!B$5:B$17,A5,'Posted Receipts'!D$5:D$17)</x:f>
        <x:v>220</x:v>
      </x:c>
      <x:c r="H5" s="14" t="n">
        <x:f>SUMIF('Approved Credits'!B$5:B$6,A5,'Approved Credits'!D$5:D$6)</x:f>
        <x:v>0</x:v>
      </x:c>
      <x:c r="I5" s="14" t="n">
        <x:f>F5-G5-H5</x:f>
        <x:v>0</x:v>
      </x:c>
      <x:c r="J5" t="str">
        <x:f>IF(I5=0,"PAID",IF(I5&lt;0,"OVERPAID - REVIEW","OPEN"))</x:f>
        <x:v>PAID</x:v>
      </x:c>
    </x:row>
    <x:row r="6">
      <x:c r="A6" t="str">
        <x:v>BILL-3102</x:v>
      </x:c>
      <x:c r="B6" t="str">
        <x:v>Sample Business 02</x:v>
      </x:c>
      <x:c r="C6" t="str">
        <x:v>Document quality review</x:v>
      </x:c>
      <x:c r="D6" t="n">
        <x:v>6</x:v>
      </x:c>
      <x:c r="E6" s="14" t="n">
        <x:v>60</x:v>
      </x:c>
      <x:c r="F6" s="14" t="n">
        <x:f>D6*E6</x:f>
        <x:v>360</x:v>
      </x:c>
      <x:c r="G6" s="14" t="n">
        <x:f>SUMIF('Posted Receipts'!B$5:B$17,A6,'Posted Receipts'!D$5:D$17)</x:f>
        <x:v>180</x:v>
      </x:c>
      <x:c r="H6" s="14" t="n">
        <x:f>SUMIF('Approved Credits'!B$5:B$6,A6,'Approved Credits'!D$5:D$6)</x:f>
        <x:v>0</x:v>
      </x:c>
      <x:c r="I6" s="14" t="n">
        <x:f>F6-G6-H6</x:f>
        <x:v>180</x:v>
      </x:c>
      <x:c r="J6" t="str">
        <x:f>IF(I6=0,"PAID",IF(I6&lt;0,"OVERPAID - REVIEW","OPEN"))</x:f>
        <x:v>OPEN</x:v>
      </x:c>
    </x:row>
    <x:row r="7">
      <x:c r="A7" t="str">
        <x:v>BILL-3103</x:v>
      </x:c>
      <x:c r="B7" t="str">
        <x:v>Sample Business 03</x:v>
      </x:c>
      <x:c r="C7" t="str">
        <x:v>Data conversion</x:v>
      </x:c>
      <x:c r="D7" t="n">
        <x:v>8</x:v>
      </x:c>
      <x:c r="E7" s="14" t="n">
        <x:v>65</x:v>
      </x:c>
      <x:c r="F7" s="14" t="n">
        <x:f>D7*E7</x:f>
        <x:v>520</x:v>
      </x:c>
      <x:c r="G7" s="14" t="n">
        <x:f>SUMIF('Posted Receipts'!B$5:B$17,A7,'Posted Receipts'!D$5:D$17)</x:f>
        <x:v>260</x:v>
      </x:c>
      <x:c r="H7" s="14" t="n">
        <x:f>SUMIF('Approved Credits'!B$5:B$6,A7,'Approved Credits'!D$5:D$6)</x:f>
        <x:v>0</x:v>
      </x:c>
      <x:c r="I7" s="14" t="n">
        <x:f>F7-G7-H7</x:f>
        <x:v>260</x:v>
      </x:c>
      <x:c r="J7" t="str">
        <x:f>IF(I7=0,"PAID",IF(I7&lt;0,"OVERPAID - REVIEW","OPEN"))</x:f>
        <x:v>OPEN</x:v>
      </x:c>
    </x:row>
    <x:row r="8">
      <x:c r="A8" t="str">
        <x:v>BILL-3104</x:v>
      </x:c>
      <x:c r="B8" t="str">
        <x:v>Sample Business 04</x:v>
      </x:c>
      <x:c r="C8" t="str">
        <x:v>Reporting production</x:v>
      </x:c>
      <x:c r="D8" t="n">
        <x:v>10</x:v>
      </x:c>
      <x:c r="E8" s="14" t="n">
        <x:v>70</x:v>
      </x:c>
      <x:c r="F8" s="14" t="n">
        <x:f>D8*E8</x:f>
        <x:v>700</x:v>
      </x:c>
      <x:c r="G8" s="14" t="n">
        <x:f>SUMIF('Posted Receipts'!B$5:B$17,A8,'Posted Receipts'!D$5:D$17)</x:f>
        <x:v>700</x:v>
      </x:c>
      <x:c r="H8" s="14" t="n">
        <x:f>SUMIF('Approved Credits'!B$5:B$6,A8,'Approved Credits'!D$5:D$6)</x:f>
        <x:v>0</x:v>
      </x:c>
      <x:c r="I8" s="14" t="n">
        <x:f>F8-G8-H8</x:f>
        <x:v>0</x:v>
      </x:c>
      <x:c r="J8" t="str">
        <x:f>IF(I8=0,"PAID",IF(I8&lt;0,"OVERPAID - REVIEW","OPEN"))</x:f>
        <x:v>PAID</x:v>
      </x:c>
    </x:row>
    <x:row r="9">
      <x:c r="A9" t="str">
        <x:v>BILL-3105</x:v>
      </x:c>
      <x:c r="B9" t="str">
        <x:v>Sample Business 05</x:v>
      </x:c>
      <x:c r="C9" t="str">
        <x:v>Systems support</x:v>
      </x:c>
      <x:c r="D9" t="n">
        <x:v>12</x:v>
      </x:c>
      <x:c r="E9" s="14" t="n">
        <x:v>75</x:v>
      </x:c>
      <x:c r="F9" s="14" t="n">
        <x:f>D9*E9</x:f>
        <x:v>900</x:v>
      </x:c>
      <x:c r="G9" s="14" t="n">
        <x:f>SUMIF('Posted Receipts'!B$5:B$17,A9,'Posted Receipts'!D$5:D$17)</x:f>
        <x:v>450</x:v>
      </x:c>
      <x:c r="H9" s="14" t="n">
        <x:f>SUMIF('Approved Credits'!B$5:B$6,A9,'Approved Credits'!D$5:D$6)</x:f>
        <x:v>0</x:v>
      </x:c>
      <x:c r="I9" s="14" t="n">
        <x:f>F9-G9-H9</x:f>
        <x:v>450</x:v>
      </x:c>
      <x:c r="J9" t="str">
        <x:f>IF(I9=0,"PAID",IF(I9&lt;0,"OVERPAID - REVIEW","OPEN"))</x:f>
        <x:v>OPEN</x:v>
      </x:c>
    </x:row>
    <x:row r="10">
      <x:c r="A10" t="str">
        <x:v>BILL-3106</x:v>
      </x:c>
      <x:c r="B10" t="str">
        <x:v>Sample Business 06</x:v>
      </x:c>
      <x:c r="C10" t="str">
        <x:v>Spreadsheet automation</x:v>
      </x:c>
      <x:c r="D10" t="n">
        <x:v>14</x:v>
      </x:c>
      <x:c r="E10" s="14" t="n">
        <x:v>80</x:v>
      </x:c>
      <x:c r="F10" s="14" t="n">
        <x:f>D10*E10</x:f>
        <x:v>1120</x:v>
      </x:c>
      <x:c r="G10" s="14" t="n">
        <x:f>SUMIF('Posted Receipts'!B$5:B$17,A10,'Posted Receipts'!D$5:D$17)</x:f>
        <x:v>560</x:v>
      </x:c>
      <x:c r="H10" s="14" t="n">
        <x:f>SUMIF('Approved Credits'!B$5:B$6,A10,'Approved Credits'!D$5:D$6)</x:f>
        <x:v>0</x:v>
      </x:c>
      <x:c r="I10" s="14" t="n">
        <x:f>F10-G10-H10</x:f>
        <x:v>560</x:v>
      </x:c>
      <x:c r="J10" t="str">
        <x:f>IF(I10=0,"PAID",IF(I10&lt;0,"OVERPAID - REVIEW","OPEN"))</x:f>
        <x:v>OPEN</x:v>
      </x:c>
    </x:row>
    <x:row r="11">
      <x:c r="A11" t="str">
        <x:v>BILL-3107</x:v>
      </x:c>
      <x:c r="B11" t="str">
        <x:v>Sample Business 07</x:v>
      </x:c>
      <x:c r="C11" t="str">
        <x:v>Customer support hours</x:v>
      </x:c>
      <x:c r="D11" t="n">
        <x:v>16</x:v>
      </x:c>
      <x:c r="E11" s="14" t="n">
        <x:v>55</x:v>
      </x:c>
      <x:c r="F11" s="14" t="n">
        <x:f>D11*E11</x:f>
        <x:v>880</x:v>
      </x:c>
      <x:c r="G11" s="14" t="n">
        <x:f>SUMIF('Posted Receipts'!B$5:B$17,A11,'Posted Receipts'!D$5:D$17)</x:f>
        <x:v>880</x:v>
      </x:c>
      <x:c r="H11" s="14" t="n">
        <x:f>SUMIF('Approved Credits'!B$5:B$6,A11,'Approved Credits'!D$5:D$6)</x:f>
        <x:v>0</x:v>
      </x:c>
      <x:c r="I11" s="14" t="n">
        <x:f>F11-G11-H11</x:f>
        <x:v>0</x:v>
      </x:c>
      <x:c r="J11" t="str">
        <x:f>IF(I11=0,"PAID",IF(I11&lt;0,"OVERPAID - REVIEW","OPEN"))</x:f>
        <x:v>PAID</x:v>
      </x:c>
    </x:row>
    <x:row r="12">
      <x:c r="A12" t="str">
        <x:v>BILL-3108</x:v>
      </x:c>
      <x:c r="B12" t="str">
        <x:v>Sample Business 08</x:v>
      </x:c>
      <x:c r="C12" t="str">
        <x:v>Document quality review</x:v>
      </x:c>
      <x:c r="D12" t="n">
        <x:v>18</x:v>
      </x:c>
      <x:c r="E12" s="14" t="n">
        <x:v>60</x:v>
      </x:c>
      <x:c r="F12" s="14" t="n">
        <x:f>D12*E12</x:f>
        <x:v>1080</x:v>
      </x:c>
      <x:c r="G12" s="14" t="n">
        <x:f>SUMIF('Posted Receipts'!B$5:B$17,A12,'Posted Receipts'!D$5:D$17)</x:f>
        <x:v>540</x:v>
      </x:c>
      <x:c r="H12" s="14" t="n">
        <x:f>SUMIF('Approved Credits'!B$5:B$6,A12,'Approved Credits'!D$5:D$6)</x:f>
        <x:v>0</x:v>
      </x:c>
      <x:c r="I12" s="14" t="n">
        <x:f>F12-G12-H12</x:f>
        <x:v>540</x:v>
      </x:c>
      <x:c r="J12" t="str">
        <x:f>IF(I12=0,"PAID",IF(I12&lt;0,"OVERPAID - REVIEW","OPEN"))</x:f>
        <x:v>OPEN</x:v>
      </x:c>
    </x:row>
    <x:row r="13">
      <x:c r="A13" t="str">
        <x:v>BILL-3109</x:v>
      </x:c>
      <x:c r="B13" t="str">
        <x:v>Sample Business 09</x:v>
      </x:c>
      <x:c r="C13" t="str">
        <x:v>Data conversion</x:v>
      </x:c>
      <x:c r="D13" t="n">
        <x:v>20</x:v>
      </x:c>
      <x:c r="E13" s="14" t="n">
        <x:v>65</x:v>
      </x:c>
      <x:c r="F13" s="14" t="n">
        <x:f>D13*E13</x:f>
        <x:v>1300</x:v>
      </x:c>
      <x:c r="G13" s="14" t="n">
        <x:f>SUMIF('Posted Receipts'!B$5:B$17,A13,'Posted Receipts'!D$5:D$17)</x:f>
        <x:v>650</x:v>
      </x:c>
      <x:c r="H13" s="14" t="n">
        <x:f>SUMIF('Approved Credits'!B$5:B$6,A13,'Approved Credits'!D$5:D$6)</x:f>
        <x:v>0</x:v>
      </x:c>
      <x:c r="I13" s="14" t="n">
        <x:f>F13-G13-H13</x:f>
        <x:v>650</x:v>
      </x:c>
      <x:c r="J13" t="str">
        <x:f>IF(I13=0,"PAID",IF(I13&lt;0,"OVERPAID - REVIEW","OPEN"))</x:f>
        <x:v>OPEN</x:v>
      </x:c>
    </x:row>
    <x:row r="14">
      <x:c r="A14" t="str">
        <x:v>BILL-3110</x:v>
      </x:c>
      <x:c r="B14" t="str">
        <x:v>Sample Business 10</x:v>
      </x:c>
      <x:c r="C14" t="str">
        <x:v>Reporting production</x:v>
      </x:c>
      <x:c r="D14" t="n">
        <x:v>4</x:v>
      </x:c>
      <x:c r="E14" s="14" t="n">
        <x:v>70</x:v>
      </x:c>
      <x:c r="F14" s="14" t="n">
        <x:f>D14*E14</x:f>
        <x:v>280</x:v>
      </x:c>
      <x:c r="G14" s="14" t="n">
        <x:f>SUMIF('Posted Receipts'!B$5:B$17,A14,'Posted Receipts'!D$5:D$17)</x:f>
        <x:v>280</x:v>
      </x:c>
      <x:c r="H14" s="14" t="n">
        <x:f>SUMIF('Approved Credits'!B$5:B$6,A14,'Approved Credits'!D$5:D$6)</x:f>
        <x:v>0</x:v>
      </x:c>
      <x:c r="I14" s="14" t="n">
        <x:f>F14-G14-H14</x:f>
        <x:v>0</x:v>
      </x:c>
      <x:c r="J14" t="str">
        <x:f>IF(I14=0,"PAID",IF(I14&lt;0,"OVERPAID - REVIEW","OPEN"))</x:f>
        <x:v>PAID</x:v>
      </x:c>
    </x:row>
    <x:row r="15">
      <x:c r="A15" t="str">
        <x:v>BILL-3111</x:v>
      </x:c>
      <x:c r="B15" t="str">
        <x:v>Sample Business 11</x:v>
      </x:c>
      <x:c r="C15" t="str">
        <x:v>Systems support</x:v>
      </x:c>
      <x:c r="D15" t="n">
        <x:v>6</x:v>
      </x:c>
      <x:c r="E15" s="14" t="n">
        <x:v>75</x:v>
      </x:c>
      <x:c r="F15" s="14" t="n">
        <x:f>D15*E15</x:f>
        <x:v>450</x:v>
      </x:c>
      <x:c r="G15" s="14" t="n">
        <x:f>SUMIF('Posted Receipts'!B$5:B$17,A15,'Posted Receipts'!D$5:D$17)</x:f>
        <x:v>225</x:v>
      </x:c>
      <x:c r="H15" s="14" t="n">
        <x:f>SUMIF('Approved Credits'!B$5:B$6,A15,'Approved Credits'!D$5:D$6)</x:f>
        <x:v>0</x:v>
      </x:c>
      <x:c r="I15" s="14" t="n">
        <x:f>F15-G15-H15</x:f>
        <x:v>225</x:v>
      </x:c>
      <x:c r="J15" t="str">
        <x:f>IF(I15=0,"PAID",IF(I15&lt;0,"OVERPAID - REVIEW","OPEN"))</x:f>
        <x:v>OPEN</x:v>
      </x:c>
    </x:row>
    <x:row r="16">
      <x:c r="A16" t="str">
        <x:v>BILL-3112</x:v>
      </x:c>
      <x:c r="B16" t="str">
        <x:v>Sample Business 12</x:v>
      </x:c>
      <x:c r="C16" t="str">
        <x:v>Spreadsheet automation</x:v>
      </x:c>
      <x:c r="D16" t="n">
        <x:v>8</x:v>
      </x:c>
      <x:c r="E16" s="14" t="n">
        <x:v>80</x:v>
      </x:c>
      <x:c r="F16" s="14" t="n">
        <x:f>D16*E16</x:f>
        <x:v>640</x:v>
      </x:c>
      <x:c r="G16" s="14" t="n">
        <x:f>SUMIF('Posted Receipts'!B$5:B$17,A16,'Posted Receipts'!D$5:D$17)</x:f>
        <x:v>320</x:v>
      </x:c>
      <x:c r="H16" s="14" t="n">
        <x:f>SUMIF('Approved Credits'!B$5:B$6,A16,'Approved Credits'!D$5:D$6)</x:f>
        <x:v>0</x:v>
      </x:c>
      <x:c r="I16" s="14" t="n">
        <x:f>F16-G16-H16</x:f>
        <x:v>320</x:v>
      </x:c>
      <x:c r="J16" t="str">
        <x:f>IF(I16=0,"PAID",IF(I16&lt;0,"OVERPAID - REVIEW","OPEN"))</x:f>
        <x:v>OPEN</x:v>
      </x:c>
    </x:row>
    <x:row r="17">
      <x:c r="A17" t="str">
        <x:v>BILL-3113</x:v>
      </x:c>
      <x:c r="B17" t="str">
        <x:v>Sample Business 13</x:v>
      </x:c>
      <x:c r="C17" t="str">
        <x:v>Customer support hours</x:v>
      </x:c>
      <x:c r="D17" t="n">
        <x:v>10</x:v>
      </x:c>
      <x:c r="E17" s="14" t="n">
        <x:v>55</x:v>
      </x:c>
      <x:c r="F17" s="14" t="n">
        <x:f>D17*E17</x:f>
        <x:v>550</x:v>
      </x:c>
      <x:c r="G17" s="14" t="n">
        <x:f>SUMIF('Posted Receipts'!B$5:B$17,A17,'Posted Receipts'!D$5:D$17)</x:f>
        <x:v>550</x:v>
      </x:c>
      <x:c r="H17" s="14" t="n">
        <x:f>SUMIF('Approved Credits'!B$5:B$6,A17,'Approved Credits'!D$5:D$6)</x:f>
        <x:v>0</x:v>
      </x:c>
      <x:c r="I17" s="14" t="n">
        <x:f>F17-G17-H17</x:f>
        <x:v>0</x:v>
      </x:c>
      <x:c r="J17" t="str">
        <x:f>IF(I17=0,"PAID",IF(I17&lt;0,"OVERPAID - REVIEW","OPEN"))</x:f>
        <x:v>PAID</x:v>
      </x:c>
    </x:row>
    <x:row r="18">
      <x:c r="A18" t="str">
        <x:v>BILL-3114</x:v>
      </x:c>
      <x:c r="B18" t="str">
        <x:v>Sample Business 14</x:v>
      </x:c>
      <x:c r="C18" t="str">
        <x:v>Document quality review</x:v>
      </x:c>
      <x:c r="D18" t="n">
        <x:v>12</x:v>
      </x:c>
      <x:c r="E18" s="14" t="n">
        <x:v>60</x:v>
      </x:c>
      <x:c r="F18" s="14" t="n">
        <x:f>D18*E18</x:f>
        <x:v>720</x:v>
      </x:c>
      <x:c r="G18" s="14" t="n">
        <x:f>SUMIF('Posted Receipts'!B$5:B$17,A18,'Posted Receipts'!D$5:D$17)</x:f>
        <x:v>0</x:v>
      </x:c>
      <x:c r="H18" s="14" t="n">
        <x:f>SUMIF('Approved Credits'!B$5:B$6,A18,'Approved Credits'!D$5:D$6)</x:f>
        <x:v>0</x:v>
      </x:c>
      <x:c r="I18" s="14" t="n">
        <x:f>F18-G18-H18</x:f>
        <x:v>720</x:v>
      </x:c>
      <x:c r="J18" t="str">
        <x:f>IF(I18=0,"PAID",IF(I18&lt;0,"OVERPAID - REVIEW","OPEN"))</x:f>
        <x:v>OPEN</x:v>
      </x:c>
    </x:row>
    <x:row r="19">
      <x:c r="A19" t="str">
        <x:v>BILL-3115</x:v>
      </x:c>
      <x:c r="B19" t="str">
        <x:v>Sample Business 15</x:v>
      </x:c>
      <x:c r="C19" t="str">
        <x:v>Data conversion</x:v>
      </x:c>
      <x:c r="D19" t="n">
        <x:v>14</x:v>
      </x:c>
      <x:c r="E19" s="14" t="n">
        <x:v>65</x:v>
      </x:c>
      <x:c r="F19" s="14" t="n">
        <x:f>D19*E19</x:f>
        <x:v>910</x:v>
      </x:c>
      <x:c r="G19" s="14" t="n">
        <x:f>SUMIF('Posted Receipts'!B$5:B$17,A19,'Posted Receipts'!D$5:D$17)</x:f>
        <x:v>0</x:v>
      </x:c>
      <x:c r="H19" s="14" t="n">
        <x:f>SUMIF('Approved Credits'!B$5:B$6,A19,'Approved Credits'!D$5:D$6)</x:f>
        <x:v>35</x:v>
      </x:c>
      <x:c r="I19" s="14" t="n">
        <x:f>F19-G19-H19</x:f>
        <x:v>875</x:v>
      </x:c>
      <x:c r="J19" t="str">
        <x:f>IF(I19=0,"PAID",IF(I19&lt;0,"OVERPAID - REVIEW","OPEN"))</x:f>
        <x:v>OPEN</x:v>
      </x:c>
    </x:row>
    <x:row r="20">
      <x:c r="A20" t="str">
        <x:v>BILL-3116</x:v>
      </x:c>
      <x:c r="B20" t="str">
        <x:v>Sample Business 16</x:v>
      </x:c>
      <x:c r="C20" t="str">
        <x:v>Reporting production</x:v>
      </x:c>
      <x:c r="D20" t="n">
        <x:v>16</x:v>
      </x:c>
      <x:c r="E20" s="14" t="n">
        <x:v>70</x:v>
      </x:c>
      <x:c r="F20" s="14" t="n">
        <x:f>D20*E20</x:f>
        <x:v>1120</x:v>
      </x:c>
      <x:c r="G20" s="14" t="n">
        <x:f>SUMIF('Posted Receipts'!B$5:B$17,A20,'Posted Receipts'!D$5:D$17)</x:f>
        <x:v>0</x:v>
      </x:c>
      <x:c r="H20" s="14" t="n">
        <x:f>SUMIF('Approved Credits'!B$5:B$6,A20,'Approved Credits'!D$5:D$6)</x:f>
        <x:v>0</x:v>
      </x:c>
      <x:c r="I20" s="14" t="n">
        <x:f>F20-G20-H20</x:f>
        <x:v>1120</x:v>
      </x:c>
      <x:c r="J20" t="str">
        <x:f>IF(I20=0,"PAID",IF(I20&lt;0,"OVERPAID - REVIEW","OPEN"))</x:f>
        <x:v>OPEN</x:v>
      </x:c>
    </x:row>
    <x:row r="21">
      <x:c r="A21" t="str">
        <x:v>BILL-3117</x:v>
      </x:c>
      <x:c r="B21" t="str">
        <x:v>Sample Business 17</x:v>
      </x:c>
      <x:c r="C21" t="str">
        <x:v>Systems support</x:v>
      </x:c>
      <x:c r="D21" t="n">
        <x:v>18</x:v>
      </x:c>
      <x:c r="E21" s="14" t="n">
        <x:v>75</x:v>
      </x:c>
      <x:c r="F21" s="14" t="n">
        <x:f>D21*E21</x:f>
        <x:v>1350</x:v>
      </x:c>
      <x:c r="G21" s="14" t="n">
        <x:f>SUMIF('Posted Receipts'!B$5:B$17,A21,'Posted Receipts'!D$5:D$17)</x:f>
        <x:v>0</x:v>
      </x:c>
      <x:c r="H21" s="14" t="n">
        <x:f>SUMIF('Approved Credits'!B$5:B$6,A21,'Approved Credits'!D$5:D$6)</x:f>
        <x:v>0</x:v>
      </x:c>
      <x:c r="I21" s="14" t="n">
        <x:f>F21-G21-H21</x:f>
        <x:v>1350</x:v>
      </x:c>
      <x:c r="J21" t="str">
        <x:f>IF(I21=0,"PAID",IF(I21&lt;0,"OVERPAID - REVIEW","OPEN"))</x:f>
        <x:v>OPEN</x:v>
      </x:c>
    </x:row>
    <x:row r="22">
      <x:c r="A22" t="str">
        <x:v>BILL-3118</x:v>
      </x:c>
      <x:c r="B22" t="str">
        <x:v>Sample Business 18</x:v>
      </x:c>
      <x:c r="C22" t="str">
        <x:v>Spreadsheet automation</x:v>
      </x:c>
      <x:c r="D22" t="n">
        <x:v>20</x:v>
      </x:c>
      <x:c r="E22" s="14" t="n">
        <x:v>80</x:v>
      </x:c>
      <x:c r="F22" s="14" t="n">
        <x:f>D22*E22</x:f>
        <x:v>1600</x:v>
      </x:c>
      <x:c r="G22" s="14" t="n">
        <x:f>SUMIF('Posted Receipts'!B$5:B$17,A22,'Posted Receipts'!D$5:D$17)</x:f>
        <x:v>0</x:v>
      </x:c>
      <x:c r="H22" s="14" t="n">
        <x:f>SUMIF('Approved Credits'!B$5:B$6,A22,'Approved Credits'!D$5:D$6)</x:f>
        <x:v>35</x:v>
      </x:c>
      <x:c r="I22" s="14" t="n">
        <x:f>F22-G22-H22</x:f>
        <x:v>1565</x:v>
      </x:c>
      <x:c r="J22" t="str">
        <x:f>IF(I22=0,"PAID",IF(I22&lt;0,"OVERPAID - REVIEW","OPEN"))</x:f>
        <x:v>OPEN</x:v>
      </x:c>
    </x:row>
    <x:row r="23">
      <x:c r="A23" t="str">
        <x:v>BILL-3119</x:v>
      </x:c>
      <x:c r="B23" t="str">
        <x:v>Sample Business 19</x:v>
      </x:c>
      <x:c r="C23" t="str">
        <x:v>Customer support hours</x:v>
      </x:c>
      <x:c r="D23" t="n">
        <x:v>4</x:v>
      </x:c>
      <x:c r="E23" s="14" t="n">
        <x:v>55</x:v>
      </x:c>
      <x:c r="F23" s="14" t="n">
        <x:f>D23*E23</x:f>
        <x:v>220</x:v>
      </x:c>
      <x:c r="G23" s="14" t="n">
        <x:f>SUMIF('Posted Receipts'!B$5:B$17,A23,'Posted Receipts'!D$5:D$17)</x:f>
        <x:v>0</x:v>
      </x:c>
      <x:c r="H23" s="14" t="n">
        <x:f>SUMIF('Approved Credits'!B$5:B$6,A23,'Approved Credits'!D$5:D$6)</x:f>
        <x:v>0</x:v>
      </x:c>
      <x:c r="I23" s="14" t="n">
        <x:f>F23-G23-H23</x:f>
        <x:v>220</x:v>
      </x:c>
      <x:c r="J23" t="str">
        <x:f>IF(I23=0,"PAID",IF(I23&lt;0,"OVERPAID - REVIEW","OPEN"))</x:f>
        <x:v>OPEN</x:v>
      </x:c>
    </x:row>
    <x:row r="24">
      <x:c r="A24" t="str">
        <x:v>BILL-3120</x:v>
      </x:c>
      <x:c r="B24" t="str">
        <x:v>Sample Business 20</x:v>
      </x:c>
      <x:c r="C24" t="str">
        <x:v>Document quality review</x:v>
      </x:c>
      <x:c r="D24" t="n">
        <x:v>6</x:v>
      </x:c>
      <x:c r="E24" s="14" t="n">
        <x:v>60</x:v>
      </x:c>
      <x:c r="F24" s="14" t="n">
        <x:f>D24*E24</x:f>
        <x:v>360</x:v>
      </x:c>
      <x:c r="G24" s="14" t="n">
        <x:f>SUMIF('Posted Receipts'!B$5:B$17,A24,'Posted Receipts'!D$5:D$17)</x:f>
        <x:v>0</x:v>
      </x:c>
      <x:c r="H24" s="14" t="n">
        <x:f>SUMIF('Approved Credits'!B$5:B$6,A24,'Approved Credits'!D$5:D$6)</x:f>
        <x:v>0</x:v>
      </x:c>
      <x:c r="I24" s="14" t="n">
        <x:f>F24-G24-H24</x:f>
        <x:v>360</x:v>
      </x:c>
      <x:c r="J24" t="str">
        <x:f>IF(I24=0,"PAID",IF(I24&lt;0,"OVERPAID - REVIEW","OPEN"))</x:f>
        <x:v>OPEN</x:v>
      </x:c>
    </x:row>
    <x:row r="25">
      <x:c r="A25" t="str">
        <x:v>BILL-3121</x:v>
      </x:c>
      <x:c r="B25" t="str">
        <x:v>Sample Business 21</x:v>
      </x:c>
      <x:c r="C25" t="str">
        <x:v>Data conversion</x:v>
      </x:c>
      <x:c r="D25" t="n">
        <x:v>8</x:v>
      </x:c>
      <x:c r="E25" s="14" t="n">
        <x:v>65</x:v>
      </x:c>
      <x:c r="F25" s="14" t="n">
        <x:f>D25*E25</x:f>
        <x:v>520</x:v>
      </x:c>
      <x:c r="G25" s="14" t="n">
        <x:f>SUMIF('Posted Receipts'!B$5:B$17,A25,'Posted Receipts'!D$5:D$17)</x:f>
        <x:v>0</x:v>
      </x:c>
      <x:c r="H25" s="14" t="n">
        <x:f>SUMIF('Approved Credits'!B$5:B$6,A25,'Approved Credits'!D$5:D$6)</x:f>
        <x:v>0</x:v>
      </x:c>
      <x:c r="I25" s="14" t="n">
        <x:f>F25-G25-H25</x:f>
        <x:v>520</x:v>
      </x:c>
      <x:c r="J25" t="str">
        <x:f>IF(I25=0,"PAID",IF(I25&lt;0,"OVERPAID - REVIEW","OPEN"))</x:f>
        <x:v>OPEN</x:v>
      </x:c>
    </x:row>
    <x:row r="26">
      <x:c r="A26" t="str">
        <x:v>BILL-3122</x:v>
      </x:c>
      <x:c r="B26" t="str">
        <x:v>Sample Business 22</x:v>
      </x:c>
      <x:c r="C26" t="str">
        <x:v>Reporting production</x:v>
      </x:c>
      <x:c r="D26" t="n">
        <x:v>10</x:v>
      </x:c>
      <x:c r="E26" s="14" t="n">
        <x:v>70</x:v>
      </x:c>
      <x:c r="F26" s="14" t="n">
        <x:f>D26*E26</x:f>
        <x:v>700</x:v>
      </x:c>
      <x:c r="G26" s="14" t="n">
        <x:f>SUMIF('Posted Receipts'!B$5:B$17,A26,'Posted Receipts'!D$5:D$17)</x:f>
        <x:v>0</x:v>
      </x:c>
      <x:c r="H26" s="14" t="n">
        <x:f>SUMIF('Approved Credits'!B$5:B$6,A26,'Approved Credits'!D$5:D$6)</x:f>
        <x:v>0</x:v>
      </x:c>
      <x:c r="I26" s="14" t="n">
        <x:f>F26-G26-H26</x:f>
        <x:v>700</x:v>
      </x:c>
      <x:c r="J26" t="str">
        <x:f>IF(I26=0,"PAID",IF(I26&lt;0,"OVERPAID - REVIEW","OPEN"))</x:f>
        <x:v>OPEN</x:v>
      </x:c>
    </x:row>
    <x:row r="27">
      <x:c r="A27" t="str">
        <x:v>BILL-3123</x:v>
      </x:c>
      <x:c r="B27" t="str">
        <x:v>Sample Business 23</x:v>
      </x:c>
      <x:c r="C27" t="str">
        <x:v>Systems support</x:v>
      </x:c>
      <x:c r="D27" t="n">
        <x:v>12</x:v>
      </x:c>
      <x:c r="E27" s="14" t="n">
        <x:v>75</x:v>
      </x:c>
      <x:c r="F27" s="14" t="n">
        <x:f>D27*E27</x:f>
        <x:v>900</x:v>
      </x:c>
      <x:c r="G27" s="14" t="n">
        <x:f>SUMIF('Posted Receipts'!B$5:B$17,A27,'Posted Receipts'!D$5:D$17)</x:f>
        <x:v>0</x:v>
      </x:c>
      <x:c r="H27" s="14" t="n">
        <x:f>SUMIF('Approved Credits'!B$5:B$6,A27,'Approved Credits'!D$5:D$6)</x:f>
        <x:v>0</x:v>
      </x:c>
      <x:c r="I27" s="14" t="n">
        <x:f>F27-G27-H27</x:f>
        <x:v>900</x:v>
      </x:c>
      <x:c r="J27" t="str">
        <x:f>IF(I27=0,"PAID",IF(I27&lt;0,"OVERPAID - REVIEW","OPEN"))</x:f>
        <x:v>OPEN</x:v>
      </x:c>
    </x:row>
    <x:row r="28">
      <x:c r="A28" t="str">
        <x:v>BILL-3124</x:v>
      </x:c>
      <x:c r="B28" t="str">
        <x:v>Sample Business 24</x:v>
      </x:c>
      <x:c r="C28" t="str">
        <x:v>Spreadsheet automation</x:v>
      </x:c>
      <x:c r="D28" t="n">
        <x:v>14</x:v>
      </x:c>
      <x:c r="E28" s="14" t="n">
        <x:v>80</x:v>
      </x:c>
      <x:c r="F28" s="14" t="n">
        <x:f>D28*E28</x:f>
        <x:v>1120</x:v>
      </x:c>
      <x:c r="G28" s="14" t="n">
        <x:f>SUMIF('Posted Receipts'!B$5:B$17,A28,'Posted Receipts'!D$5:D$17)</x:f>
        <x:v>0</x:v>
      </x:c>
      <x:c r="H28" s="14" t="n">
        <x:f>SUMIF('Approved Credits'!B$5:B$6,A28,'Approved Credits'!D$5:D$6)</x:f>
        <x:v>0</x:v>
      </x:c>
      <x:c r="I28" s="14" t="n">
        <x:f>F28-G28-H28</x:f>
        <x:v>1120</x:v>
      </x:c>
      <x:c r="J28" t="str">
        <x:f>IF(I28=0,"PAID",IF(I28&lt;0,"OVERPAID - REVIEW","OPEN"))</x:f>
        <x:v>OPEN</x:v>
      </x:c>
    </x:row>
    <x:row r="29">
      <x:c r="E29" s="14"/>
      <x:c r="F29" s="14"/>
      <x:c r="G29" s="14"/>
      <x:c r="H29" s="14"/>
      <x:c r="I29" s="14"/>
    </x:row>
    <x:row r="30">
      <x:c r="A30" s="12" t="str">
        <x:v>MONTH-END CONTROL TOTALS</x:v>
      </x:c>
      <x:c r="B30" s="12"/>
      <x:c r="C30" s="12"/>
      <x:c r="D30" s="12"/>
      <x:c r="E30" s="15"/>
      <x:c r="F30" s="15" t="n">
        <x:f>SUM(F5:F28)</x:f>
        <x:v>18520</x:v>
      </x:c>
      <x:c r="G30" s="15" t="n">
        <x:f>SUM(G5:G28)</x:f>
        <x:v>5815</x:v>
      </x:c>
      <x:c r="H30" s="15" t="n">
        <x:f>SUM(H5:H28)</x:f>
        <x:v>70</x:v>
      </x:c>
      <x:c r="I30" s="15" t="n">
        <x:f>SUM(I5:I28)</x:f>
        <x:v>12635</x:v>
      </x:c>
      <x:c r="J30" s="12"/>
    </x:row>
  </x:sheetData>
  <x:mergeCells>
    <x:mergeCell ref="A1:J2"/>
    <x:mergeCell ref="A30:E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9" hidden="0" customWidth="1"/>
    <x:col min="4" max="4" width="20" hidden="0" customWidth="1"/>
    <x:col min="5" max="5" width="17" hidden="0" customWidth="1"/>
    <x:col min="6" max="6" width="40" hidden="0" customWidth="1"/>
  </x:cols>
  <x:sheetData>
    <x:row r="4">
      <x:c r="A4" s="7" t="str">
        <x:v>Receipt</x:v>
      </x:c>
      <x:c r="B4" s="7" t="str">
        <x:v>Invoice ID</x:v>
      </x:c>
      <x:c r="C4" s="7" t="str">
        <x:v>Posted</x:v>
      </x:c>
      <x:c r="D4" s="7" t="str">
        <x:v>Amount</x:v>
      </x:c>
      <x:c r="E4" s="7" t="str">
        <x:v>Status</x:v>
      </x:c>
      <x:c r="F4" s="7" t="str">
        <x:v>Control note</x:v>
      </x:c>
    </x:row>
    <x:row r="5">
      <x:c r="A5" t="str">
        <x:v>RCPT-001</x:v>
      </x:c>
      <x:c r="B5" t="str">
        <x:v>BILL-3101</x:v>
      </x:c>
      <x:c r="C5" t="str">
        <x:v>2026-10-26</x:v>
      </x:c>
      <x:c r="D5" s="14" t="n">
        <x:v>220</x:v>
      </x:c>
      <x:c r="E5" t="str">
        <x:v>Posted</x:v>
      </x:c>
      <x:c r="F5" t="str">
        <x:v>Verified matching invoice ID</x:v>
      </x:c>
    </x:row>
    <x:row r="6">
      <x:c r="A6" t="str">
        <x:v>RCPT-002</x:v>
      </x:c>
      <x:c r="B6" t="str">
        <x:v>BILL-3102</x:v>
      </x:c>
      <x:c r="C6" t="str">
        <x:v>2026-10-26</x:v>
      </x:c>
      <x:c r="D6" s="14" t="n">
        <x:v>180</x:v>
      </x:c>
      <x:c r="E6" t="str">
        <x:v>Posted</x:v>
      </x:c>
      <x:c r="F6" t="str">
        <x:v>Verified matching invoice ID</x:v>
      </x:c>
    </x:row>
    <x:row r="7">
      <x:c r="A7" t="str">
        <x:v>RCPT-003</x:v>
      </x:c>
      <x:c r="B7" t="str">
        <x:v>BILL-3103</x:v>
      </x:c>
      <x:c r="C7" t="str">
        <x:v>2026-10-26</x:v>
      </x:c>
      <x:c r="D7" s="14" t="n">
        <x:v>260</x:v>
      </x:c>
      <x:c r="E7" t="str">
        <x:v>Posted</x:v>
      </x:c>
      <x:c r="F7" t="str">
        <x:v>Verified matching invoice ID</x:v>
      </x:c>
    </x:row>
    <x:row r="8">
      <x:c r="A8" t="str">
        <x:v>RCPT-004</x:v>
      </x:c>
      <x:c r="B8" t="str">
        <x:v>BILL-3104</x:v>
      </x:c>
      <x:c r="C8" t="str">
        <x:v>2026-10-26</x:v>
      </x:c>
      <x:c r="D8" s="14" t="n">
        <x:v>700</x:v>
      </x:c>
      <x:c r="E8" t="str">
        <x:v>Posted</x:v>
      </x:c>
      <x:c r="F8" t="str">
        <x:v>Verified matching invoice ID</x:v>
      </x:c>
    </x:row>
    <x:row r="9">
      <x:c r="A9" t="str">
        <x:v>RCPT-005</x:v>
      </x:c>
      <x:c r="B9" t="str">
        <x:v>BILL-3105</x:v>
      </x:c>
      <x:c r="C9" t="str">
        <x:v>2026-10-26</x:v>
      </x:c>
      <x:c r="D9" s="14" t="n">
        <x:v>450</x:v>
      </x:c>
      <x:c r="E9" t="str">
        <x:v>Posted</x:v>
      </x:c>
      <x:c r="F9" t="str">
        <x:v>Verified matching invoice ID</x:v>
      </x:c>
    </x:row>
    <x:row r="10">
      <x:c r="A10" t="str">
        <x:v>RCPT-006</x:v>
      </x:c>
      <x:c r="B10" t="str">
        <x:v>BILL-3106</x:v>
      </x:c>
      <x:c r="C10" t="str">
        <x:v>2026-10-26</x:v>
      </x:c>
      <x:c r="D10" s="14" t="n">
        <x:v>560</x:v>
      </x:c>
      <x:c r="E10" t="str">
        <x:v>Posted</x:v>
      </x:c>
      <x:c r="F10" t="str">
        <x:v>Verified matching invoice ID</x:v>
      </x:c>
    </x:row>
    <x:row r="11">
      <x:c r="A11" t="str">
        <x:v>RCPT-007</x:v>
      </x:c>
      <x:c r="B11" t="str">
        <x:v>BILL-3107</x:v>
      </x:c>
      <x:c r="C11" t="str">
        <x:v>2026-10-26</x:v>
      </x:c>
      <x:c r="D11" s="14" t="n">
        <x:v>880</x:v>
      </x:c>
      <x:c r="E11" t="str">
        <x:v>Posted</x:v>
      </x:c>
      <x:c r="F11" t="str">
        <x:v>Verified matching invoice ID</x:v>
      </x:c>
    </x:row>
    <x:row r="12">
      <x:c r="A12" t="str">
        <x:v>RCPT-008</x:v>
      </x:c>
      <x:c r="B12" t="str">
        <x:v>BILL-3108</x:v>
      </x:c>
      <x:c r="C12" t="str">
        <x:v>2026-10-26</x:v>
      </x:c>
      <x:c r="D12" s="14" t="n">
        <x:v>540</x:v>
      </x:c>
      <x:c r="E12" t="str">
        <x:v>Posted</x:v>
      </x:c>
      <x:c r="F12" t="str">
        <x:v>Verified matching invoice ID</x:v>
      </x:c>
    </x:row>
    <x:row r="13">
      <x:c r="A13" t="str">
        <x:v>RCPT-009</x:v>
      </x:c>
      <x:c r="B13" t="str">
        <x:v>BILL-3109</x:v>
      </x:c>
      <x:c r="C13" t="str">
        <x:v>2026-10-26</x:v>
      </x:c>
      <x:c r="D13" s="14" t="n">
        <x:v>650</x:v>
      </x:c>
      <x:c r="E13" t="str">
        <x:v>Posted</x:v>
      </x:c>
      <x:c r="F13" t="str">
        <x:v>Verified matching invoice ID</x:v>
      </x:c>
    </x:row>
    <x:row r="14">
      <x:c r="A14" t="str">
        <x:v>RCPT-010</x:v>
      </x:c>
      <x:c r="B14" t="str">
        <x:v>BILL-3110</x:v>
      </x:c>
      <x:c r="C14" t="str">
        <x:v>2026-10-26</x:v>
      </x:c>
      <x:c r="D14" s="14" t="n">
        <x:v>280</x:v>
      </x:c>
      <x:c r="E14" t="str">
        <x:v>Posted</x:v>
      </x:c>
      <x:c r="F14" t="str">
        <x:v>Verified matching invoice ID</x:v>
      </x:c>
    </x:row>
    <x:row r="15">
      <x:c r="A15" t="str">
        <x:v>RCPT-011</x:v>
      </x:c>
      <x:c r="B15" t="str">
        <x:v>BILL-3111</x:v>
      </x:c>
      <x:c r="C15" t="str">
        <x:v>2026-10-26</x:v>
      </x:c>
      <x:c r="D15" s="14" t="n">
        <x:v>225</x:v>
      </x:c>
      <x:c r="E15" t="str">
        <x:v>Posted</x:v>
      </x:c>
      <x:c r="F15" t="str">
        <x:v>Verified matching invoice ID</x:v>
      </x:c>
    </x:row>
    <x:row r="16">
      <x:c r="A16" t="str">
        <x:v>RCPT-012</x:v>
      </x:c>
      <x:c r="B16" t="str">
        <x:v>BILL-3112</x:v>
      </x:c>
      <x:c r="C16" t="str">
        <x:v>2026-10-26</x:v>
      </x:c>
      <x:c r="D16" s="14" t="n">
        <x:v>320</x:v>
      </x:c>
      <x:c r="E16" t="str">
        <x:v>Posted</x:v>
      </x:c>
      <x:c r="F16" t="str">
        <x:v>Verified matching invoice ID</x:v>
      </x:c>
    </x:row>
    <x:row r="17">
      <x:c r="A17" t="str">
        <x:v>RCPT-013</x:v>
      </x:c>
      <x:c r="B17" t="str">
        <x:v>BILL-3113</x:v>
      </x:c>
      <x:c r="C17" t="str">
        <x:v>2026-10-26</x:v>
      </x:c>
      <x:c r="D17" s="14" t="n">
        <x:v>550</x:v>
      </x:c>
      <x:c r="E17" t="str">
        <x:v>Posted</x:v>
      </x:c>
      <x:c r="F17" t="str">
        <x:v>Verified matching invoice 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1" hidden="0" customWidth="1"/>
    <x:col min="4" max="4" width="20" hidden="0" customWidth="1"/>
    <x:col min="5" max="5" width="22" hidden="0" customWidth="1"/>
    <x:col min="6" max="6" width="38" hidden="0" customWidth="1"/>
  </x:cols>
  <x:sheetData>
    <x:row r="4">
      <x:c r="A4" s="7" t="str">
        <x:v>Credit</x:v>
      </x:c>
      <x:c r="B4" s="7" t="str">
        <x:v>Invoice ID</x:v>
      </x:c>
      <x:c r="C4" s="7" t="str">
        <x:v>Approval date</x:v>
      </x:c>
      <x:c r="D4" s="7" t="str">
        <x:v>Amount</x:v>
      </x:c>
      <x:c r="E4" s="7" t="str">
        <x:v>Authorization</x:v>
      </x:c>
      <x:c r="F4" s="7" t="str">
        <x:v>Reason</x:v>
      </x:c>
    </x:row>
    <x:row r="5">
      <x:c r="A5" t="str">
        <x:v>CR-015</x:v>
      </x:c>
      <x:c r="B5" t="str">
        <x:v>BILL-3115</x:v>
      </x:c>
      <x:c r="C5" t="str">
        <x:v>2026-10-26</x:v>
      </x:c>
      <x:c r="D5" s="14" t="n">
        <x:v>35</x:v>
      </x:c>
      <x:c r="E5" t="str">
        <x:v>Approved</x:v>
      </x:c>
      <x:c r="F5" t="str">
        <x:v>Documented fee adjustment</x:v>
      </x:c>
    </x:row>
    <x:row r="6">
      <x:c r="A6" t="str">
        <x:v>CR-018</x:v>
      </x:c>
      <x:c r="B6" t="str">
        <x:v>BILL-3118</x:v>
      </x:c>
      <x:c r="C6" t="str">
        <x:v>2026-10-26</x:v>
      </x:c>
      <x:c r="D6" s="14" t="n">
        <x:v>35</x:v>
      </x:c>
      <x:c r="E6" t="str">
        <x:v>Approved</x:v>
      </x:c>
      <x:c r="F6" t="str">
        <x:v>Documented fee adjustment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4" customHeight="1">
      <x:c r="A1" s="18" t="str">
        <x:v>MONTH-END A/R CLOSE  |  CONTROL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4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4">
      <x:c r="A4" s="7" t="str">
        <x:v>Measure</x:v>
      </x:c>
      <x:c r="B4" s="7" t="str">
        <x:v>Live total</x:v>
      </x:c>
      <x:c r="C4" s="7" t="str">
        <x:v>Independent baseline</x:v>
      </x:c>
    </x:row>
    <x:row r="5">
      <x:c r="A5" t="str">
        <x:v>Invoices</x:v>
      </x:c>
      <x:c r="B5" t="n">
        <x:f>COUNTA('Invoice Close 24'!A5:A28)</x:f>
        <x:v>24</x:v>
      </x:c>
      <x:c r="C5" t="n">
        <x:v>24</x:v>
      </x:c>
    </x:row>
    <x:row r="6">
      <x:c r="A6" t="str">
        <x:v>Invoiced</x:v>
      </x:c>
      <x:c r="B6" s="14" t="n">
        <x:f>'Invoice Close 24'!F30</x:f>
        <x:v>18520</x:v>
      </x:c>
      <x:c r="C6" s="14" t="n">
        <x:v>18520</x:v>
      </x:c>
    </x:row>
    <x:row r="7">
      <x:c r="A7" t="str">
        <x:v>Receipts</x:v>
      </x:c>
      <x:c r="B7" s="14" t="n">
        <x:f>'Invoice Close 24'!G30</x:f>
        <x:v>5815</x:v>
      </x:c>
      <x:c r="C7" s="14" t="n">
        <x:v>5815</x:v>
      </x:c>
    </x:row>
    <x:row r="8">
      <x:c r="A8" t="str">
        <x:v>Approved credits</x:v>
      </x:c>
      <x:c r="B8" s="14" t="n">
        <x:f>'Invoice Close 24'!H30</x:f>
        <x:v>70</x:v>
      </x:c>
      <x:c r="C8" s="14" t="n">
        <x:v>70</x:v>
      </x:c>
    </x:row>
    <x:row r="9">
      <x:c r="A9" t="str">
        <x:v>Open receivables</x:v>
      </x:c>
      <x:c r="B9" s="14" t="n">
        <x:f>'Invoice Close 24'!I30</x:f>
        <x:v>12635</x:v>
      </x:c>
      <x:c r="C9" s="14" t="n">
        <x:v>12635</x:v>
      </x:c>
    </x:row>
    <x:row r="10">
      <x:c r="A10" t="str">
        <x:v>Control difference</x:v>
      </x:c>
      <x:c r="B10" s="14" t="n">
        <x:f>B6-B7-B8-B9</x:f>
        <x:v>0</x:v>
      </x:c>
      <x:c r="C10" s="14" t="n">
        <x:v>0</x:v>
      </x:c>
    </x:row>
    <x:row r="13">
      <x:c r="A13" s="7" t="str">
        <x:v>Reconciliation element</x:v>
      </x:c>
      <x:c r="B13" s="7" t="str">
        <x:v>Amount</x:v>
      </x:c>
    </x:row>
    <x:row r="14">
      <x:c r="A14" t="str">
        <x:v>Invoiced</x:v>
      </x:c>
      <x:c r="B14" t="n">
        <x:f>B6</x:f>
        <x:v>18520</x:v>
      </x:c>
    </x:row>
    <x:row r="15">
      <x:c r="A15" t="str">
        <x:v>Applied receipts</x:v>
      </x:c>
      <x:c r="B15" t="n">
        <x:f>B7</x:f>
        <x:v>5815</x:v>
      </x:c>
    </x:row>
    <x:row r="16">
      <x:c r="A16" t="str">
        <x:v>Credits</x:v>
      </x:c>
      <x:c r="B16" t="n">
        <x:f>B8</x:f>
        <x:v>70</x:v>
      </x:c>
    </x:row>
    <x:row r="17">
      <x:c r="A17" t="str">
        <x:v>Open A/R</x:v>
      </x:c>
      <x:c r="B17" t="n">
        <x:f>B9</x:f>
        <x:v>12635</x:v>
      </x:c>
    </x:row>
    <x:row r="20">
      <x:c r="A20" s="21" t="str">
        <x:v>Unmatched $50 receipt remains in an exception file. It is not posted to this ledger. Gross-only payroll is documented separately. Synthetic training data only.</x:v>
      </x:c>
      <x:c r="B20" s="21"/>
      <x:c r="C20" s="21"/>
      <x:c r="D20" s="21"/>
      <x:c r="E20" s="21"/>
      <x:c r="F20" s="21"/>
      <x:c r="G20" s="21"/>
      <x:c r="H20" s="21"/>
      <x:c r="I20" s="21"/>
      <x:c r="J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</x:row>
  </x:sheetData>
  <x:mergeCells>
    <x:mergeCell ref="A1:J2"/>
    <x:mergeCell ref="A20:J22"/>
  </x:mergeCells>
  <x:pageMargins left="0.7" right="0.7" top="0.75" bottom="0.75" header="0.3" footer="0.3"/>
  <x:drawing xmlns:r="http://schemas.openxmlformats.org/officeDocument/2006/relationships" r:id="R230cb64fa9be48d6"/>
</x:worksheet>
</file>