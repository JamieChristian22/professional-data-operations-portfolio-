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005d5fc088407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1404ebe54f4144c5"/>
    <x:sheet xmlns:r="http://schemas.openxmlformats.org/officeDocument/2006/relationships" name="QA Dashboard" sheetId="2" r:id="R4f18d7f13d614a52"/>
    <x:sheet xmlns:r="http://schemas.openxmlformats.org/officeDocument/2006/relationships" name="Intake Review" sheetId="3" r:id="R456f27a9e33e4259"/>
    <x:sheet xmlns:r="http://schemas.openxmlformats.org/officeDocument/2006/relationships" name="Approved Master" sheetId="4" r:id="R3d5290926aaf4450"/>
    <x:sheet xmlns:r="http://schemas.openxmlformats.org/officeDocument/2006/relationships" name="Exceptions Audit" sheetId="5" r:id="R0f33bf6ab5fc41e7"/>
    <x:sheet xmlns:r="http://schemas.openxmlformats.org/officeDocument/2006/relationships" name="Practice Source" sheetId="6" r:id="Ra39881f01db9404d"/>
    <x:sheet xmlns:r="http://schemas.openxmlformats.org/officeDocument/2006/relationships" name="Practice Workbench" sheetId="7" r:id="R18a7b0114e484904"/>
    <x:sheet xmlns:r="http://schemas.openxmlformats.org/officeDocument/2006/relationships" name="Answer Key" sheetId="8" r:id="R31a2f2043508477e"/>
    <x:sheet xmlns:r="http://schemas.openxmlformats.org/officeDocument/2006/relationships" name="Lookups" sheetId="9" r:id="Rb5b40f2eb4934d0f"/>
    <x:sheet xmlns:r="http://schemas.openxmlformats.org/officeDocument/2006/relationships" name="Expanded Intake 120" sheetId="10" r:id="R180a37b6f76f405a"/>
    <x:sheet xmlns:r="http://schemas.openxmlformats.org/officeDocument/2006/relationships" name="Expanded QA Dashboard" sheetId="11" r:id="R1a8af7036ec9411e"/>
    <x:sheet xmlns:r="http://schemas.openxmlformats.org/officeDocument/2006/relationships" name="Expanded Approved 104" sheetId="12" r:id="R52562754f56a429c"/>
    <x:sheet xmlns:r="http://schemas.openxmlformats.org/officeDocument/2006/relationships" name="Expanded Exceptions 16" sheetId="13" r:id="R23373b6b3e564e0b"/>
    <x:sheet xmlns:r="http://schemas.openxmlformats.org/officeDocument/2006/relationships" name="40 Row Typing Exercise" sheetId="14" r:id="R1709986b812e4a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17">
    <x:font>
      <x:sz val="11"/>
      <x:name val="Carlito"/>
    </x:font>
    <x:font>
      <x:b/>
      <x:sz val="19"/>
      <x:color rgb="FFFFFFFF"/>
      <x:name val="Aptos"/>
    </x:font>
    <x:font>
      <x:sz val="10"/>
      <x:color rgb="FF64748B"/>
      <x:name val="Aptos"/>
    </x:font>
    <x:font>
      <x:b/>
      <x:sz val="11"/>
      <x:color rgb="FF007F7B"/>
      <x:name val="Aptos"/>
    </x:font>
    <x:font>
      <x:b/>
      <x:sz val="10"/>
      <x:color rgb="FFFFFFFF"/>
      <x:name val="Aptos"/>
    </x:font>
    <x:font>
      <x:sz val="10"/>
      <x:color rgb="FF20304A"/>
      <x:name val="Aptos"/>
    </x:font>
    <x:font>
      <x:b/>
      <x:sz val="12"/>
      <x:color rgb="FF007F7B"/>
      <x:name val="Aptos"/>
    </x:font>
    <x:font>
      <x:b/>
      <x:sz val="10"/>
      <x:color rgb="FF225E9B"/>
      <x:name val="Aptos"/>
    </x:font>
    <x:font>
      <x:b/>
      <x:sz val="10"/>
      <x:color rgb="FF007F7B"/>
      <x:name val="Aptos"/>
    </x:font>
    <x:font>
      <x:b/>
      <x:sz val="10"/>
      <x:color rgb="FF20304A"/>
      <x:name val="Aptos"/>
    </x:font>
    <x:font>
      <x:sz val="10"/>
      <x:color rgb="FF20304A"/>
      <x:name val="Aptos"/>
    </x:font>
    <x:font>
      <x:b/>
      <x:sz val="24"/>
      <x:color rgb="FF12223A"/>
      <x:name val="Aptos"/>
    </x:font>
    <x:font>
      <x:b/>
      <x:sz val="12"/>
      <x:color rgb="FF225E9B"/>
      <x:name val="Aptos"/>
    </x:font>
    <x:font>
      <x:b/>
      <x:sz val="11"/>
      <x:color rgb="FFFFFFFF"/>
      <x:name val="Aptos"/>
    </x:font>
    <x:font>
      <x:b/>
      <x:sz val="11"/>
      <x:color rgb="FFFFFFFF"/>
      <x:name val="Carlito"/>
    </x:font>
    <x:font>
      <x:b/>
      <x:sz val="17"/>
      <x:color rgb="FFFFFFFF"/>
      <x:name val="Carlito"/>
    </x:font>
    <x:font>
      <x:b/>
      <x:sz val="16"/>
      <x:color rgb="FFFFFFFF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2223A"/>
      </x:patternFill>
    </x:fill>
    <x:fill>
      <x:patternFill patternType="solid">
        <x:fgColor rgb="FFF4F7FA"/>
      </x:patternFill>
    </x:fill>
    <x:fill>
      <x:patternFill patternType="solid">
        <x:fgColor rgb="FFEAF4F5"/>
      </x:patternFill>
    </x:fill>
    <x:fill>
      <x:patternFill patternType="solid">
        <x:fgColor rgb="FFFFF3D6"/>
      </x:patternFill>
    </x:fill>
    <x:fill>
      <x:patternFill patternType="solid">
        <x:fgColor rgb="FF225E9B"/>
      </x:patternFill>
    </x:fill>
    <x:fill>
      <x:patternFill patternType="solid">
        <x:fgColor rgb="FFE8F1FB"/>
      </x:patternFill>
    </x:fill>
    <x:fill>
      <x:patternFill patternType="solid">
        <x:fgColor rgb="FFE8F8EE"/>
      </x:patternFill>
    </x:fill>
    <x:fill>
      <x:patternFill patternType="solid">
        <x:fgColor rgb="FFEFF7FD"/>
      </x:patternFill>
    </x:fill>
    <x:fill>
      <x:patternFill patternType="solid">
        <x:fgColor rgb="FFDDF6E8"/>
      </x:patternFill>
    </x:fill>
    <x:fill>
      <x:patternFill patternType="solid">
        <x:fgColor rgb="FFF1F5F9"/>
      </x:patternFill>
    </x:fill>
    <x:fill>
      <x:patternFill patternType="solid">
        <x:fgColor rgb="FFFFFFFF"/>
      </x:patternFill>
    </x:fill>
    <x:fill>
      <x:patternFill patternType="solid">
        <x:fgColor rgb="FF162B49"/>
      </x:patternFill>
    </x:fill>
    <x:fill>
      <x:patternFill patternType="solid">
        <x:fgColor rgb="FF087D8C"/>
      </x:patternFill>
    </x:fill>
    <x:fill>
      <x:patternFill patternType="solid">
        <x:fgColor rgb="FFEAF3F6"/>
      </x:patternFill>
    </x:fill>
  </x:fills>
  <x:borders count="2">
    <x:border/>
    <x:border/>
  </x:borders>
  <x:cellStyleXfs count="1">
    <x:xf numFmtId="0" fontId="0" fillId="0" borderId="0"/>
  </x:cellStyleXfs>
  <x:cellXfs count="1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vertical="center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vertical="center"/>
    </x:xf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1" xfId="0" applyNumberFormat="1" applyFont="1" applyFill="1" applyBorder="1" applyAlignment="1">
      <x:alignment vertical="center" wrapText="1"/>
    </x:xf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vertical="center"/>
    </x:xf>
    <x:xf numFmtId="0" fontId="7" fillId="4" borderId="1" xfId="0" applyNumberFormat="1" applyFont="1" applyFill="1" applyBorder="1"/>
    <x:xf numFmtId="0" fontId="7" fillId="4" borderId="1" xfId="0" applyNumberFormat="1" applyFont="1" applyFill="1" applyBorder="1" applyAlignment="1">
      <x:alignment vertical="center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vertical="center"/>
    </x:xf>
    <x:xf numFmtId="0" fontId="8" fillId="4" borderId="1" xfId="0" applyNumberFormat="1" applyFont="1" applyFill="1" applyBorder="1"/>
    <x:xf numFmtId="0" fontId="8" fillId="4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9" fillId="5" borderId="1" xfId="0" applyNumberFormat="1" applyFont="1" applyFill="1" applyBorder="1"/>
    <x:xf numFmtId="0" fontId="9" fillId="5" borderId="1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vertical="center"/>
    </x:xf>
    <x:xf numFmtId="0" fontId="10" fillId="0" borderId="1" xfId="0" applyNumberFormat="1" applyFont="1" applyFill="1" applyBorder="1"/>
    <x:xf numFmtId="0" fontId="10" fillId="0" borderId="1" xfId="0" applyNumberFormat="1" applyFont="1" applyFill="1" applyBorder="1" applyAlignment="1">
      <x:alignment vertical="center"/>
    </x:xf>
    <x:xf numFmtId="200" fontId="10" fillId="0" borderId="0" xfId="0" applyNumberFormat="1" applyFont="1" applyFill="1" applyBorder="1" applyAlignment="1">
      <x:alignment vertical="center"/>
    </x:xf>
    <x:xf numFmtId="200" fontId="10" fillId="0" borderId="1" xfId="0" applyNumberFormat="1" applyFont="1" applyFill="1" applyBorder="1" applyAlignment="1">
      <x:alignment vertical="center"/>
    </x:xf>
    <x:xf numFmtId="0" fontId="10" fillId="7" borderId="0" xfId="0" applyNumberFormat="1" applyFont="1" applyFill="1" applyBorder="1" applyAlignment="1">
      <x:alignment vertical="center"/>
    </x:xf>
    <x:xf numFmtId="200" fontId="10" fillId="7" borderId="0" xfId="0" applyNumberFormat="1" applyFont="1" applyFill="1" applyBorder="1" applyAlignment="1">
      <x:alignment vertical="center"/>
    </x:xf>
    <x:xf numFmtId="0" fontId="10" fillId="7" borderId="1" xfId="0" applyNumberFormat="1" applyFont="1" applyFill="1" applyBorder="1" applyAlignment="1">
      <x:alignment vertical="center"/>
    </x:xf>
    <x:xf numFmtId="200" fontId="10" fillId="7" borderId="1" xfId="0" applyNumberFormat="1" applyFont="1" applyFill="1" applyBorder="1" applyAlignment="1">
      <x:alignment vertical="center"/>
    </x:xf>
    <x:xf numFmtId="0" fontId="10" fillId="3" borderId="0" xfId="0" applyNumberFormat="1" applyFont="1" applyFill="1" applyBorder="1" applyAlignment="1">
      <x:alignment vertical="center"/>
    </x:xf>
    <x:xf numFmtId="0" fontId="10" fillId="3" borderId="1" xfId="0" applyNumberFormat="1" applyFont="1" applyFill="1" applyBorder="1" applyAlignment="1">
      <x:alignment vertical="center"/>
    </x:xf>
    <x:xf numFmtId="0" fontId="10" fillId="8" borderId="0" xfId="0" applyNumberFormat="1" applyFont="1" applyFill="1" applyBorder="1" applyAlignment="1">
      <x:alignment vertical="center"/>
    </x:xf>
    <x:xf numFmtId="0" fontId="10" fillId="8" borderId="1" xfId="0" applyNumberFormat="1" applyFont="1" applyFill="1" applyBorder="1" applyAlignment="1">
      <x:alignment vertical="center"/>
    </x:xf>
    <x:xf numFmtId="0" fontId="10" fillId="9" borderId="0" xfId="0" applyNumberFormat="1" applyFont="1" applyFill="1" applyBorder="1" applyAlignment="1">
      <x:alignment vertical="center"/>
    </x:xf>
    <x:xf numFmtId="200" fontId="10" fillId="9" borderId="0" xfId="0" applyNumberFormat="1" applyFont="1" applyFill="1" applyBorder="1" applyAlignment="1">
      <x:alignment vertical="center"/>
    </x:xf>
    <x:xf numFmtId="0" fontId="10" fillId="9" borderId="1" xfId="0" applyNumberFormat="1" applyFont="1" applyFill="1" applyBorder="1" applyAlignment="1">
      <x:alignment vertical="center"/>
    </x:xf>
    <x:xf numFmtId="200" fontId="10" fillId="9" borderId="1" xfId="0" applyNumberFormat="1" applyFont="1" applyFill="1" applyBorder="1" applyAlignment="1">
      <x:alignment vertical="center"/>
    </x:xf>
    <x:xf numFmtId="0" fontId="10" fillId="10" borderId="0" xfId="0" applyNumberFormat="1" applyFont="1" applyFill="1" applyBorder="1" applyAlignment="1">
      <x:alignment vertical="center"/>
    </x:xf>
    <x:xf numFmtId="0" fontId="10" fillId="10" borderId="1" xfId="0" applyNumberFormat="1" applyFont="1" applyFill="1" applyBorder="1" applyAlignment="1">
      <x:alignment vertical="center"/>
    </x:xf>
    <x:xf numFmtId="0" fontId="10" fillId="4" borderId="0" xfId="0" applyNumberFormat="1" applyFont="1" applyFill="1" applyBorder="1" applyAlignment="1">
      <x:alignment vertical="center"/>
    </x:xf>
    <x:xf numFmtId="0" fontId="10" fillId="4" borderId="1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 wrapText="1"/>
    </x:xf>
    <x:xf numFmtId="0" fontId="10" fillId="0" borderId="1" xfId="0" applyNumberFormat="1" applyFont="1" applyFill="1" applyBorder="1" applyAlignment="1">
      <x:alignment vertical="center" wrapText="1"/>
    </x:xf>
    <x:xf numFmtId="0" fontId="10" fillId="11" borderId="0" xfId="0" applyNumberFormat="1" applyFont="1" applyFill="1" applyBorder="1" applyAlignment="1">
      <x:alignment vertical="center"/>
    </x:xf>
    <x:xf numFmtId="200" fontId="10" fillId="11" borderId="0" xfId="0" applyNumberFormat="1" applyFont="1" applyFill="1" applyBorder="1" applyAlignment="1">
      <x:alignment vertical="center"/>
    </x:xf>
    <x:xf numFmtId="0" fontId="10" fillId="11" borderId="1" xfId="0" applyNumberFormat="1" applyFont="1" applyFill="1" applyBorder="1" applyAlignment="1">
      <x:alignment vertical="center"/>
    </x:xf>
    <x:xf numFmtId="200" fontId="10" fillId="11" borderId="1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1" fillId="12" borderId="0" xfId="0" applyNumberFormat="1" applyFont="1" applyFill="1" applyBorder="1"/>
    <x:xf numFmtId="0" fontId="11" fillId="12" borderId="0" xfId="0" applyNumberFormat="1" applyFont="1" applyFill="1" applyBorder="1" applyAlignment="1">
      <x:alignment horizontal="center"/>
    </x:xf>
    <x:xf numFmtId="0" fontId="11" fillId="12" borderId="0" xfId="0" applyNumberFormat="1" applyFont="1" applyFill="1" applyBorder="1" applyAlignment="1">
      <x:alignment horizontal="center" vertical="center"/>
    </x:xf>
    <x:xf numFmtId="0" fontId="0" fillId="12" borderId="1" xfId="0" applyNumberFormat="1" applyFont="1" applyFill="1" applyBorder="1"/>
    <x:xf numFmtId="0" fontId="11" fillId="12" borderId="1" xfId="0" applyNumberFormat="1" applyFont="1" applyFill="1" applyBorder="1"/>
    <x:xf numFmtId="0" fontId="11" fillId="12" borderId="1" xfId="0" applyNumberFormat="1" applyFont="1" applyFill="1" applyBorder="1" applyAlignment="1">
      <x:alignment horizontal="center"/>
    </x:xf>
    <x:xf numFmtId="0" fontId="11" fillId="12" borderId="1" xfId="0" applyNumberFormat="1" applyFont="1" applyFill="1" applyBorder="1" applyAlignment="1">
      <x:alignment horizontal="center" vertical="center"/>
    </x:xf>
    <x:xf numFmtId="0" fontId="12" fillId="12" borderId="0" xfId="0" applyNumberFormat="1" applyFont="1" applyFill="1" applyBorder="1"/>
    <x:xf numFmtId="0" fontId="12" fillId="12" borderId="0" xfId="0" applyNumberFormat="1" applyFont="1" applyFill="1" applyBorder="1" applyAlignment="1">
      <x:alignment horizontal="center"/>
    </x:xf>
    <x:xf numFmtId="0" fontId="12" fillId="12" borderId="1" xfId="0" applyNumberFormat="1" applyFont="1" applyFill="1" applyBorder="1"/>
    <x:xf numFmtId="0" fontId="12" fillId="12" borderId="1" xfId="0" applyNumberFormat="1" applyFont="1" applyFill="1" applyBorder="1" applyAlignment="1">
      <x:alignment horizontal="center"/>
    </x:xf>
    <x:xf numFmtId="201" fontId="12" fillId="12" borderId="0" xfId="0" applyNumberFormat="1" applyFont="1" applyFill="1" applyBorder="1" applyAlignment="1">
      <x:alignment horizontal="center"/>
    </x:xf>
    <x:xf numFmtId="201" fontId="12" fillId="12" borderId="1" xfId="0" applyNumberFormat="1" applyFont="1" applyFill="1" applyBorder="1" applyAlignment="1">
      <x:alignment horizontal="center"/>
    </x:xf>
    <x:xf numFmtId="0" fontId="13" fillId="2" borderId="0" xfId="0" applyNumberFormat="1" applyFont="1" applyFill="1" applyBorder="1"/>
    <x:xf numFmtId="0" fontId="13" fillId="2" borderId="0" xfId="0" applyNumberFormat="1" applyFont="1" applyFill="1" applyBorder="1" applyAlignment="1">
      <x:alignment vertical="center"/>
    </x:xf>
    <x:xf numFmtId="0" fontId="13" fillId="2" borderId="1" xfId="0" applyNumberFormat="1" applyFont="1" applyFill="1" applyBorder="1"/>
    <x:xf numFmtId="0" fontId="13" fillId="2" borderId="1" xfId="0" applyNumberFormat="1" applyFont="1" applyFill="1" applyBorder="1" applyAlignment="1">
      <x:alignment vertical="center"/>
    </x:xf>
    <x:xf numFmtId="0" fontId="14" fillId="6" borderId="0" xfId="0" applyNumberFormat="1" applyFont="1" applyFill="1" applyBorder="1"/>
    <x:xf numFmtId="0" fontId="14" fillId="6" borderId="1" xfId="0" applyNumberFormat="1" applyFont="1" applyFill="1" applyBorder="1"/>
    <x:xf numFmtId="0" fontId="0" fillId="0" borderId="0" xfId="0" applyNumberFormat="1" applyFont="1" applyFill="1" applyBorder="1"/>
    <x:xf numFmtId="200" fontId="5" fillId="0" borderId="0" xfId="0" applyNumberFormat="1" applyFont="1" applyFill="1" applyBorder="1" applyAlignment="1">
      <x:alignment vertical="center"/>
    </x:xf>
    <x:xf numFmtId="0" fontId="5" fillId="7" borderId="0" xfId="0" applyNumberFormat="1" applyFont="1" applyFill="1" applyBorder="1" applyAlignment="1">
      <x:alignment vertical="center"/>
    </x:xf>
    <x:xf numFmtId="200" fontId="5" fillId="7" borderId="0" xfId="0" applyNumberFormat="1" applyFont="1" applyFill="1" applyBorder="1" applyAlignment="1">
      <x:alignment vertical="center"/>
    </x:xf>
    <x:xf numFmtId="0" fontId="5" fillId="8" borderId="0" xfId="0" applyNumberFormat="1" applyFont="1" applyFill="1" applyBorder="1" applyAlignment="1">
      <x:alignment vertical="center"/>
    </x:xf>
    <x:xf numFmtId="0" fontId="5" fillId="9" borderId="0" xfId="0" applyNumberFormat="1" applyFont="1" applyFill="1" applyBorder="1" applyAlignment="1">
      <x:alignment vertical="center"/>
    </x:xf>
    <x:xf numFmtId="200" fontId="5" fillId="9" borderId="0" xfId="0" applyNumberFormat="1" applyFont="1" applyFill="1" applyBorder="1" applyAlignment="1">
      <x:alignment vertical="center"/>
    </x:xf>
    <x:xf numFmtId="0" fontId="5" fillId="10" borderId="0" xfId="0" applyNumberFormat="1" applyFont="1" applyFill="1" applyBorder="1" applyAlignment="1">
      <x:alignment vertical="center"/>
    </x:xf>
    <x:xf numFmtId="0" fontId="5" fillId="4" borderId="0" xfId="0" applyNumberFormat="1" applyFont="1" applyFill="1" applyBorder="1" applyAlignment="1">
      <x:alignment vertical="center"/>
    </x:xf>
    <x:xf numFmtId="0" fontId="5" fillId="11" borderId="0" xfId="0" applyNumberFormat="1" applyFont="1" applyFill="1" applyBorder="1" applyAlignment="1">
      <x:alignment vertical="center"/>
    </x:xf>
    <x:xf numFmtId="200" fontId="5" fillId="11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/>
    <x:xf numFmtId="0" fontId="15" fillId="13" borderId="0" xfId="0" applyNumberFormat="1" applyFont="1" applyFill="1" applyBorder="1"/>
    <x:xf numFmtId="0" fontId="0" fillId="14" borderId="0" xfId="0" applyNumberFormat="1" applyFont="1" applyFill="1" applyBorder="1"/>
    <x:xf numFmtId="0" fontId="14" fillId="14" borderId="0" xfId="0" applyNumberFormat="1" applyFont="1" applyFill="1" applyBorder="1"/>
    <x:xf numFmtId="0" fontId="14" fillId="14" borderId="0" xfId="0" applyNumberFormat="1" applyFont="1" applyFill="1" applyBorder="1" applyAlignment="1">
      <x:alignment wrapText="1"/>
    </x:xf>
    <x:xf numFmtId="0" fontId="16" fillId="13" borderId="0" xfId="0" applyNumberFormat="1" applyFont="1" applyFill="1" applyBorder="1"/>
    <x:xf numFmtId="0" fontId="0" fillId="15" borderId="0" xfId="0" applyNumberFormat="1" applyFont="1" applyFill="1" applyBorder="1"/>
    <x:xf numFmtId="0" fontId="0" fillId="15" borderId="0" xfId="0" applyNumberFormat="1" applyFont="1" applyFill="1" applyBorder="1" applyAlignment="1">
      <x:alignment wrapText="1"/>
    </x:xf>
    <x:xf numFmtId="0" fontId="14" fillId="13" borderId="0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  <x:dxfs count="15">
    <x:dxf>
      <x:fill>
        <x:patternFill>
          <x:bgColor rgb="FFDDF6E8"/>
        </x:patternFill>
      </x:fill>
    </x:dxf>
    <x:dxf>
      <x:fill>
        <x:patternFill>
          <x:bgColor rgb="FFDDF6E8"/>
        </x:patternFill>
      </x:fill>
    </x:dxf>
    <x:dxf>
      <x:fill>
        <x:patternFill>
          <x:bgColor rgb="FFFFE6E5"/>
        </x:patternFill>
      </x:fill>
    </x:dxf>
    <x:dxf>
      <x:fill>
        <x:patternFill>
          <x:bgColor rgb="FFFFF3D6"/>
        </x:patternFill>
      </x:fill>
    </x:dxf>
    <x:dxf>
      <x:fill>
        <x:patternFill>
          <x:bgColor rgb="FFDDF6E8"/>
        </x:patternFill>
      </x:fill>
    </x:dxf>
    <x:dxf>
      <x:fill>
        <x:patternFill>
          <x:bgColor rgb="FFDDF6E8"/>
        </x:patternFill>
      </x:fill>
    </x:dxf>
    <x:dxf>
      <x:fill>
        <x:patternFill>
          <x:bgColor rgb="FFFFE6E5"/>
        </x:patternFill>
      </x:fill>
    </x:dxf>
    <x:dxf>
      <x:fill>
        <x:patternFill>
          <x:bgColor rgb="FFFFF3D6"/>
        </x:patternFill>
      </x:fill>
    </x:dxf>
    <x:dxf>
      <x:fill>
        <x:patternFill>
          <x:bgColor rgb="FFDDF6E8"/>
        </x:patternFill>
      </x:fill>
    </x:dxf>
    <x:dxf>
      <x:fill>
        <x:patternFill>
          <x:bgColor rgb="FFDDF6E8"/>
        </x:patternFill>
      </x:fill>
    </x:dxf>
    <x:dxf>
      <x:fill>
        <x:patternFill>
          <x:bgColor rgb="FFFFE6E5"/>
        </x:patternFill>
      </x:fill>
    </x:dxf>
    <x:dxf>
      <x:fill>
        <x:patternFill>
          <x:bgColor rgb="FFFFF3D6"/>
        </x:patternFill>
      </x:fill>
    </x:dxf>
    <x:dxf>
      <x:fill>
        <x:patternFill patternType="solid">
          <x:bgColor rgb="FFFFF0DD"/>
        </x:patternFill>
      </x:fill>
    </x:dxf>
    <x:dxf>
      <x:fill>
        <x:patternFill patternType="solid">
          <x:bgColor rgb="FFFFF8CB"/>
        </x:patternFill>
      </x:fill>
    </x:dxf>
    <x:dxf>
      <x:fill>
        <x:patternFill patternType="solid">
          <x:bgColor rgb="FFE6F7F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79b202547a4011" /><Relationship Type="http://schemas.openxmlformats.org/officeDocument/2006/relationships/theme" Target="/xl/theme/theme1.xml" Id="R2677fe22deb844a4" /><Relationship Type="http://schemas.openxmlformats.org/officeDocument/2006/relationships/sharedStrings" Target="/xl/sharedStrings.xml" Id="R2e20b31bce8e4129" /><Relationship Type="http://schemas.openxmlformats.org/officeDocument/2006/relationships/worksheet" Target="/xl/worksheets/sheet1.xml" Id="R1404ebe54f4144c5" /><Relationship Type="http://schemas.openxmlformats.org/officeDocument/2006/relationships/worksheet" Target="/xl/worksheets/sheet2.xml" Id="R4f18d7f13d614a52" /><Relationship Type="http://schemas.openxmlformats.org/officeDocument/2006/relationships/worksheet" Target="/xl/worksheets/sheet3.xml" Id="R456f27a9e33e4259" /><Relationship Type="http://schemas.openxmlformats.org/officeDocument/2006/relationships/worksheet" Target="/xl/worksheets/sheet4.xml" Id="R3d5290926aaf4450" /><Relationship Type="http://schemas.openxmlformats.org/officeDocument/2006/relationships/worksheet" Target="/xl/worksheets/sheet5.xml" Id="R0f33bf6ab5fc41e7" /><Relationship Type="http://schemas.openxmlformats.org/officeDocument/2006/relationships/worksheet" Target="/xl/worksheets/sheet6.xml" Id="Ra39881f01db9404d" /><Relationship Type="http://schemas.openxmlformats.org/officeDocument/2006/relationships/worksheet" Target="/xl/worksheets/sheet7.xml" Id="R18a7b0114e484904" /><Relationship Type="http://schemas.openxmlformats.org/officeDocument/2006/relationships/worksheet" Target="/xl/worksheets/sheet8.xml" Id="R31a2f2043508477e" /><Relationship Type="http://schemas.openxmlformats.org/officeDocument/2006/relationships/worksheet" Target="/xl/worksheets/sheet9.xml" Id="Rb5b40f2eb4934d0f" /><Relationship Type="http://schemas.openxmlformats.org/officeDocument/2006/relationships/worksheet" Target="/xl/worksheets/sheet10.xml" Id="R180a37b6f76f405a" /><Relationship Type="http://schemas.openxmlformats.org/officeDocument/2006/relationships/worksheet" Target="/xl/worksheets/sheet11.xml" Id="R1a8af7036ec9411e" /><Relationship Type="http://schemas.openxmlformats.org/officeDocument/2006/relationships/worksheet" Target="/xl/worksheets/sheet12.xml" Id="R52562754f56a429c" /><Relationship Type="http://schemas.openxmlformats.org/officeDocument/2006/relationships/worksheet" Target="/xl/worksheets/sheet13.xml" Id="R23373b6b3e564e0b" /><Relationship Type="http://schemas.openxmlformats.org/officeDocument/2006/relationships/worksheet" Target="/xl/worksheets/sheet14.xml" Id="R1709986b812e4a7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153a4d5508643c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5913a358e96246da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grouping val="clustered"/>
        <c:varyColors val="0"/>
        <c:ser>
          <c:idx val="0"/>
          <c:order val="0"/>
          <c:tx>
            <c:v>Submissions</c:v>
          </c:tx>
          <c:cat>
            <c:strRef>
              <c:f>'QA Dashboard'!$A$22:$A$25</c:f>
              <c:strCache>
                <c:ptCount val="0"/>
              </c:strCache>
            </c:strRef>
          </c:cat>
          <c:val>
            <c:numRef>
              <c:f>'QA Dashboard'!$B$22:$B$25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Approved vs exceptions (source records)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Records</c:v>
          </c:tx>
          <c:cat>
            <c:strRef>
              <c:f>'Expanded QA Dashboard'!$A$13:$A$15</c:f>
              <c:strCache>
                <c:ptCount val="0"/>
              </c:strCache>
            </c:strRef>
          </c:cat>
          <c:val>
            <c:numRef>
              <c:f>'Expanded QA Dashboard'!$B$13:$B$15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53a4d5508643cf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913a358e96246d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ebcf12ebbf6b41a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2.xml" Id="R7717b33bba6a4db1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25" customHeight="1">
      <x:c r="A1" s="4" t="str">
        <x:v>EXCEL DATA ENTRY  |  OPERATIONAL WORKBOOK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 ht="27" customHeight="1">
      <x:c r="A3" s="10" t="str">
        <x:v>Customer onboarding • data verification • controlled entry • QA evidence • practice assessment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</x:row>
    <x:row r="5" ht="30" customHeight="1">
      <x:c r="A5" s="16" t="str">
        <x:v>WORKFLOW   Source intake  →  Clean / validate  →  Review decision  →  Approved master  →  Exception resolution</x:v>
      </x:c>
      <x:c r="B5" s="16"/>
      <x:c r="C5" s="16"/>
      <x:c r="D5" s="16"/>
      <x:c r="E5" s="16"/>
      <x:c r="F5" s="16"/>
      <x:c r="G5" s="16"/>
      <x:c r="H5" s="16"/>
      <x:c r="I5" s="16"/>
      <x:c r="J5" s="16"/>
      <x:c r="K5" s="16"/>
      <x:c r="L5" s="16"/>
    </x:row>
    <x:row r="7" ht="27" customHeight="1">
      <x:c r="A7" s="21" t="str">
        <x:v>01  QA Dashboard</x:v>
      </x:c>
      <x:c r="B7" s="21"/>
      <x:c r="C7" s="21"/>
      <x:c r="D7" s="25" t="str">
        <x:v>Live formula-based counts: new submissions, approved, duplicates, holds, reviewed checks, and skill-practice accuracy.</x:v>
      </x:c>
      <x:c r="E7" s="25"/>
      <x:c r="F7" s="25"/>
      <x:c r="G7" s="25"/>
      <x:c r="H7" s="25"/>
      <x:c r="I7" s="25"/>
      <x:c r="J7" s="25"/>
      <x:c r="K7" s="25"/>
      <x:c r="L7" s="25"/>
    </x:row>
    <x:row r="9" ht="27" customHeight="1">
      <x:c r="A9" s="21" t="str">
        <x:v>02  Intake Review</x:v>
      </x:c>
      <x:c r="B9" s="21"/>
      <x:c r="C9" s="21"/>
      <x:c r="D9" s="25" t="str">
        <x:v>12 filled production-style records + 18 blank entry rows. BLUE columns are editable inputs; calculated columns are automatically populated.</x:v>
      </x:c>
      <x:c r="E9" s="25"/>
      <x:c r="F9" s="25"/>
      <x:c r="G9" s="25"/>
      <x:c r="H9" s="25"/>
      <x:c r="I9" s="25"/>
      <x:c r="J9" s="25"/>
      <x:c r="K9" s="25"/>
      <x:c r="L9" s="25"/>
    </x:row>
    <x:row r="11" ht="27" customHeight="1">
      <x:c r="A11" s="21" t="str">
        <x:v>03  Approved Master</x:v>
      </x:c>
      <x:c r="B11" s="21"/>
      <x:c r="C11" s="21"/>
      <x:c r="D11" s="25" t="str">
        <x:v>Nine verified accepted customer records. Cross-check the master and the intake review before approval.</x:v>
      </x:c>
      <x:c r="E11" s="25"/>
      <x:c r="F11" s="25"/>
      <x:c r="G11" s="25"/>
      <x:c r="H11" s="25"/>
      <x:c r="I11" s="25"/>
      <x:c r="J11" s="25"/>
      <x:c r="K11" s="25"/>
      <x:c r="L11" s="25"/>
    </x:row>
    <x:row r="13" ht="27" customHeight="1">
      <x:c r="A13" s="21" t="str">
        <x:v>04  Exceptions Audit</x:v>
      </x:c>
      <x:c r="B13" s="21"/>
      <x:c r="C13" s="21"/>
      <x:c r="D13" s="25" t="str">
        <x:v>Two duplicate submissions and one missing-email hold, with reason, action, and QA trace.</x:v>
      </x:c>
      <x:c r="E13" s="25"/>
      <x:c r="F13" s="25"/>
      <x:c r="G13" s="25"/>
      <x:c r="H13" s="25"/>
      <x:c r="I13" s="25"/>
      <x:c r="J13" s="25"/>
      <x:c r="K13" s="25"/>
      <x:c r="L13" s="25"/>
    </x:row>
    <x:row r="15" ht="27" customHeight="1">
      <x:c r="A15" s="21" t="str">
        <x:v>05  Practice Source</x:v>
      </x:c>
      <x:c r="B15" s="21"/>
      <x:c r="C15" s="21"/>
      <x:c r="D15" s="25" t="str">
        <x:v>Twenty independent raw intake forms, including typos, inconsistent casing, duplicates, and missing addresses.</x:v>
      </x:c>
      <x:c r="E15" s="25"/>
      <x:c r="F15" s="25"/>
      <x:c r="G15" s="25"/>
      <x:c r="H15" s="25"/>
      <x:c r="I15" s="25"/>
      <x:c r="J15" s="25"/>
      <x:c r="K15" s="25"/>
      <x:c r="L15" s="25"/>
    </x:row>
    <x:row r="17" ht="27" customHeight="1">
      <x:c r="A17" s="21" t="str">
        <x:v>06  Practice Workbench</x:v>
      </x:c>
      <x:c r="B17" s="21"/>
      <x:c r="C17" s="21"/>
      <x:c r="D17" s="25" t="str">
        <x:v>Type corrected values into blue-shaded fields. Select a decision from the dropdown. Feedback and score update automatically.</x:v>
      </x:c>
      <x:c r="E17" s="25"/>
      <x:c r="F17" s="25"/>
      <x:c r="G17" s="25"/>
      <x:c r="H17" s="25"/>
      <x:c r="I17" s="25"/>
      <x:c r="J17" s="25"/>
      <x:c r="K17" s="25"/>
      <x:c r="L17" s="25"/>
    </x:row>
    <x:row r="19" ht="27" customHeight="1">
      <x:c r="A19" s="21" t="str">
        <x:v>07  Answer Key</x:v>
      </x:c>
      <x:c r="B19" s="21"/>
      <x:c r="C19" s="21"/>
      <x:c r="D19" s="25" t="str">
        <x:v>Independent reference for the 20 practice entries. Open only after attempting the practice.</x:v>
      </x:c>
      <x:c r="E19" s="25"/>
      <x:c r="F19" s="25"/>
      <x:c r="G19" s="25"/>
      <x:c r="H19" s="25"/>
      <x:c r="I19" s="25"/>
      <x:c r="J19" s="25"/>
      <x:c r="K19" s="25"/>
      <x:c r="L19" s="25"/>
    </x:row>
    <x:row r="21" ht="27" customHeight="1">
      <x:c r="A21" s="21" t="str">
        <x:v>08  Lookups</x:v>
      </x:c>
      <x:c r="B21" s="21"/>
      <x:c r="C21" s="21"/>
      <x:c r="D21" s="25" t="str">
        <x:v>Dropdown values, normalizing standards, review definitions and rules used throughout this workbook.</x:v>
      </x:c>
      <x:c r="E21" s="25"/>
      <x:c r="F21" s="25"/>
      <x:c r="G21" s="25"/>
      <x:c r="H21" s="25"/>
      <x:c r="I21" s="25"/>
      <x:c r="J21" s="25"/>
      <x:c r="K21" s="25"/>
      <x:c r="L21" s="25"/>
    </x:row>
    <x:row r="24" ht="29" customHeight="1">
      <x:c r="A24" s="29" t="str">
        <x:v>PRACTICAL INSTRUCTIONS</x:v>
      </x:c>
      <x:c r="B24" s="29"/>
      <x:c r="C24" s="29"/>
      <x:c r="D24" s="29"/>
      <x:c r="E24" s="29"/>
      <x:c r="F24" s="29"/>
      <x:c r="G24" s="29"/>
      <x:c r="H24" s="29"/>
      <x:c r="I24" s="29"/>
      <x:c r="J24" s="29"/>
      <x:c r="K24" s="29"/>
      <x:c r="L24" s="29"/>
    </x:row>
    <x:row r="26" ht="35" customHeight="1">
      <x:c r="A26" s="36" t="str">
        <x:v>1. In Intake Review, enter raw details into columns A–F (rows 19–36 are free). The workbook normalizes text and highlights missing or duplicate emails.</x:v>
      </x:c>
      <x:c r="B26" s="36"/>
      <x:c r="C26" s="36"/>
      <x:c r="D26" s="36"/>
      <x:c r="E26" s="36"/>
      <x:c r="F26" s="36"/>
      <x:c r="G26" s="36"/>
      <x:c r="H26" s="36"/>
      <x:c r="I26" s="36"/>
      <x:c r="J26" s="36"/>
      <x:c r="K26" s="36"/>
      <x:c r="L26" s="36"/>
    </x:row>
    <x:row r="27" ht="35" customHeight="1">
      <x:c r="A27" s="36" t="str">
        <x:v>2. The recommended action is an automated screening result only; a human reviewer must verify identity before accepting or merging a record.</x:v>
      </x:c>
      <x:c r="B27" s="36"/>
      <x:c r="C27" s="36"/>
      <x:c r="D27" s="36"/>
      <x:c r="E27" s="36"/>
      <x:c r="F27" s="36"/>
      <x:c r="G27" s="36"/>
      <x:c r="H27" s="36"/>
      <x:c r="I27" s="36"/>
      <x:c r="J27" s="36"/>
      <x:c r="K27" s="36"/>
      <x:c r="L27" s="36"/>
    </x:row>
    <x:row r="28" ht="35" customHeight="1">
      <x:c r="A28" s="36" t="str">
        <x:v>3. Choose the final decision in column N after review. Column O compares your decision with the rule-based recommendation.</x:v>
      </x:c>
      <x:c r="B28" s="36"/>
      <x:c r="C28" s="36"/>
      <x:c r="D28" s="36"/>
      <x:c r="E28" s="36"/>
      <x:c r="F28" s="36"/>
      <x:c r="G28" s="36"/>
      <x:c r="H28" s="36"/>
      <x:c r="I28" s="36"/>
      <x:c r="J28" s="36"/>
      <x:c r="K28" s="36"/>
      <x:c r="L28" s="36"/>
    </x:row>
    <x:row r="29" ht="35" customHeight="1">
      <x:c r="A29" s="36" t="str">
        <x:v>4. For typing practice, read Practice Source and enter 20 normalized records in Practice Workbench without copying the Answer Key.</x:v>
      </x:c>
      <x:c r="B29" s="36"/>
      <x:c r="C29" s="36"/>
      <x:c r="D29" s="36"/>
      <x:c r="E29" s="36"/>
      <x:c r="F29" s="36"/>
      <x:c r="G29" s="36"/>
      <x:c r="H29" s="36"/>
      <x:c r="I29" s="36"/>
      <x:c r="J29" s="36"/>
      <x:c r="K29" s="36"/>
      <x:c r="L29" s="36"/>
    </x:row>
    <x:row r="30" ht="35" customHeight="1">
      <x:c r="A30" s="36" t="str">
        <x:v>5. The dashboard practice score measures exact matches to this case-study key—not a certified typing speed, live employment history, or professional license.</x:v>
      </x:c>
      <x:c r="B30" s="36"/>
      <x:c r="C30" s="36"/>
      <x:c r="D30" s="36"/>
      <x:c r="E30" s="36"/>
      <x:c r="F30" s="36"/>
      <x:c r="G30" s="36"/>
      <x:c r="H30" s="36"/>
      <x:c r="I30" s="36"/>
      <x:c r="J30" s="36"/>
      <x:c r="K30" s="36"/>
      <x:c r="L30" s="36"/>
    </x:row>
    <x:row r="31" ht="35" customHeight="1">
      <x:c r="A31" s="36" t="str">
        <x:v>6. All people, organizations, domains and records are fictional. Never enter real client, healthcare, payroll, or regulated data into a public portfolio.</x:v>
      </x:c>
      <x:c r="B31" s="36"/>
      <x:c r="C31" s="36"/>
      <x:c r="D31" s="36"/>
      <x:c r="E31" s="36"/>
      <x:c r="F31" s="36"/>
      <x:c r="G31" s="36"/>
      <x:c r="H31" s="36"/>
      <x:c r="I31" s="36"/>
      <x:c r="J31" s="36"/>
      <x:c r="K31" s="36"/>
      <x:c r="L31" s="36"/>
    </x:row>
    <x:row r="33" ht="30" customHeight="1">
      <x:c r="A33" s="21" t="str">
        <x:v>PORTFOLIO EVIDENCE  •  The original Word case study, raw CSV, final CSV and audit trail remain in this folder.</x:v>
      </x:c>
      <x:c r="B33" s="21"/>
      <x:c r="C33" s="21"/>
      <x:c r="D33" s="21"/>
      <x:c r="E33" s="21"/>
      <x:c r="F33" s="21"/>
      <x:c r="G33" s="21"/>
      <x:c r="H33" s="21"/>
      <x:c r="I33" s="21"/>
      <x:c r="J33" s="21"/>
      <x:c r="K33" s="21"/>
      <x:c r="L33" s="21"/>
    </x:row>
  </x:sheetData>
  <x:mergeCells>
    <x:mergeCell ref="A1:L2"/>
    <x:mergeCell ref="A3:L3"/>
    <x:mergeCell ref="A5:L5"/>
    <x:mergeCell ref="A7:C7"/>
    <x:mergeCell ref="D7:L7"/>
    <x:mergeCell ref="A9:C9"/>
    <x:mergeCell ref="D9:L9"/>
    <x:mergeCell ref="A11:C11"/>
    <x:mergeCell ref="D11:L11"/>
    <x:mergeCell ref="A13:C13"/>
    <x:mergeCell ref="D13:L13"/>
    <x:mergeCell ref="A15:C15"/>
    <x:mergeCell ref="D15:L15"/>
    <x:mergeCell ref="A17:C17"/>
    <x:mergeCell ref="D17:L17"/>
    <x:mergeCell ref="A19:C19"/>
    <x:mergeCell ref="D19:L19"/>
    <x:mergeCell ref="A21:C21"/>
    <x:mergeCell ref="D21:L21"/>
    <x:mergeCell ref="A24:L24"/>
    <x:mergeCell ref="A26:L26"/>
    <x:mergeCell ref="A27:L27"/>
    <x:mergeCell ref="A28:L28"/>
    <x:mergeCell ref="A29:L29"/>
    <x:mergeCell ref="A30:L30"/>
    <x:mergeCell ref="A31:L31"/>
    <x:mergeCell ref="A33:L3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25" customHeight="1">
      <x:c r="A1" s="4" t="str">
        <x:v>DATA ENTRY  |  QUALITY OPERATIONS DASHBOARD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</x:row>
    <x:row r="3" ht="27" customHeight="1">
      <x:c r="A3" s="10" t="str">
        <x:v>Formula-driven KPIs • customer intake audit + independent typing/normalization practice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</x:row>
    <x:row r="5" ht="25" customHeight="1">
      <x:c r="A5" s="43" t="str">
        <x:v>SOURCE RECORDS</x:v>
      </x:c>
      <x:c r="B5" s="43"/>
      <x:c r="C5" s="43"/>
      <x:c r="D5" s="43" t="str">
        <x:v>APPROVED</x:v>
      </x:c>
      <x:c r="E5" s="43"/>
      <x:c r="F5" s="43"/>
      <x:c r="G5" s="43" t="str">
        <x:v>DUPLICATE</x:v>
      </x:c>
      <x:c r="H5" s="43"/>
      <x:c r="I5" s="43"/>
      <x:c r="J5" s="43" t="str">
        <x:v>HOLDS</x:v>
      </x:c>
      <x:c r="K5" s="43"/>
      <x:c r="L5" s="43"/>
    </x:row>
    <x:row r="6">
      <x:c r="A6" s="95" t="n">
        <x:f>COUNTA('Intake Review'!A7:A36)</x:f>
        <x:v>12</x:v>
      </x:c>
      <x:c r="B6" s="95"/>
      <x:c r="C6" s="95"/>
      <x:c r="D6" s="95" t="n">
        <x:f>COUNTIF('Intake Review'!N7:N36,"Accepted")</x:f>
        <x:v>9</x:v>
      </x:c>
      <x:c r="E6" s="95"/>
      <x:c r="F6" s="95"/>
      <x:c r="G6" s="95" t="n">
        <x:f>COUNTIF('Intake Review'!N7:N36,"Duplicate")</x:f>
        <x:v>2</x:v>
      </x:c>
      <x:c r="H6" s="95"/>
      <x:c r="I6" s="95"/>
      <x:c r="J6" s="95" t="n">
        <x:f>COUNTIF('Intake Review'!N7:N36,"Hold")</x:f>
        <x:v>1</x:v>
      </x:c>
      <x:c r="K6" s="95"/>
      <x:c r="L6" s="95"/>
    </x:row>
    <x:row r="7">
      <x:c r="A7" s="95"/>
      <x:c r="B7" s="95"/>
      <x:c r="C7" s="95"/>
      <x:c r="D7" s="95"/>
      <x:c r="E7" s="95"/>
      <x:c r="F7" s="95"/>
      <x:c r="G7" s="95"/>
      <x:c r="H7" s="95"/>
      <x:c r="I7" s="95"/>
      <x:c r="J7" s="95"/>
      <x:c r="K7" s="95"/>
      <x:c r="L7" s="95"/>
    </x:row>
    <x:row r="8">
      <x:c r="A8" s="95"/>
      <x:c r="B8" s="95"/>
      <x:c r="C8" s="95"/>
      <x:c r="D8" s="95"/>
      <x:c r="E8" s="95"/>
      <x:c r="F8" s="95"/>
      <x:c r="G8" s="95"/>
      <x:c r="H8" s="95"/>
      <x:c r="I8" s="95"/>
      <x:c r="J8" s="95"/>
      <x:c r="K8" s="95"/>
      <x:c r="L8" s="95"/>
    </x:row>
    <x:row r="10" ht="25" customHeight="1">
      <x:c r="A10" s="21" t="str">
        <x:v>CONTROL</x:v>
      </x:c>
      <x:c r="B10" s="21"/>
      <x:c r="C10" s="21"/>
      <x:c r="D10" s="21"/>
      <x:c r="E10" s="21" t="str">
        <x:v>LIVE RESULT</x:v>
      </x:c>
      <x:c r="F10" s="21"/>
      <x:c r="G10" s="21"/>
      <x:c r="H10" s="21"/>
      <x:c r="I10" s="21" t="str">
        <x:v>PURPOSE / APPROVAL RULE</x:v>
      </x:c>
      <x:c r="J10" s="21"/>
      <x:c r="K10" s="21"/>
      <x:c r="L10" s="21"/>
      <x:c r="M10" s="21"/>
      <x:c r="N10" s="21"/>
    </x:row>
    <x:row r="11" ht="25" customHeight="1">
      <x:c r="A11" s="25" t="str">
        <x:v>Disposition reconciliation</x:v>
      </x:c>
      <x:c r="B11" s="25"/>
      <x:c r="C11" s="25"/>
      <x:c r="D11" s="25"/>
      <x:c r="E11" s="101" t="str">
        <x:f>IF(A6=SUM(D6,G6,J6,COUNTIF('Intake Review'!N7:N36,"Rejected"),COUNTBLANK('Intake Review'!N7:N18)),"PASS","REVIEW")</x:f>
        <x:v>PASS</x:v>
      </x:c>
      <x:c r="F11" s="101"/>
      <x:c r="G11" s="101"/>
      <x:c r="H11" s="101"/>
      <x:c r="I11" s="10" t="str">
        <x:v>Each submitted record must have a disposition</x:v>
      </x:c>
      <x:c r="J11" s="10"/>
      <x:c r="K11" s="10"/>
      <x:c r="L11" s="10"/>
      <x:c r="M11" s="10"/>
      <x:c r="N11" s="10"/>
    </x:row>
    <x:row r="12" ht="25" customHeight="1">
      <x:c r="A12" s="25" t="str">
        <x:v>Manual QA agreement</x:v>
      </x:c>
      <x:c r="B12" s="25"/>
      <x:c r="C12" s="25"/>
      <x:c r="D12" s="25"/>
      <x:c r="E12" s="101" t="n">
        <x:f>COUNTIF('Intake Review'!O7:O36,"PASS")</x:f>
        <x:v>12</x:v>
      </x:c>
      <x:c r="F12" s="101"/>
      <x:c r="G12" s="101"/>
      <x:c r="H12" s="101"/>
      <x:c r="I12" s="10" t="str">
        <x:v>Reviewer decisions matching control rules</x:v>
      </x:c>
      <x:c r="J12" s="10"/>
      <x:c r="K12" s="10"/>
      <x:c r="L12" s="10"/>
      <x:c r="M12" s="10"/>
      <x:c r="N12" s="10"/>
    </x:row>
    <x:row r="13" ht="25" customHeight="1">
      <x:c r="A13" s="25" t="str">
        <x:v>Approved master records</x:v>
      </x:c>
      <x:c r="B13" s="25"/>
      <x:c r="C13" s="25"/>
      <x:c r="D13" s="25"/>
      <x:c r="E13" s="101" t="n">
        <x:f>COUNTA('Approved Master'!A7:A30)</x:f>
        <x:v>9</x:v>
      </x:c>
      <x:c r="F13" s="101"/>
      <x:c r="G13" s="101"/>
      <x:c r="H13" s="101"/>
      <x:c r="I13" s="10" t="str">
        <x:v>Expected 9 original accepted master records</x:v>
      </x:c>
      <x:c r="J13" s="10"/>
      <x:c r="K13" s="10"/>
      <x:c r="L13" s="10"/>
      <x:c r="M13" s="10"/>
      <x:c r="N13" s="10"/>
    </x:row>
    <x:row r="14" ht="25" customHeight="1">
      <x:c r="A14" s="25" t="str">
        <x:v>Open source holds</x:v>
      </x:c>
      <x:c r="B14" s="25"/>
      <x:c r="C14" s="25"/>
      <x:c r="D14" s="25"/>
      <x:c r="E14" s="101" t="n">
        <x:f>COUNTIF('Exceptions Audit'!B7:B25,"Hold")</x:f>
        <x:v>1</x:v>
      </x:c>
      <x:c r="F14" s="101"/>
      <x:c r="G14" s="101"/>
      <x:c r="H14" s="101"/>
      <x:c r="I14" s="10" t="str">
        <x:v>Requires source follow-up, not guessed values</x:v>
      </x:c>
      <x:c r="J14" s="10"/>
      <x:c r="K14" s="10"/>
      <x:c r="L14" s="10"/>
      <x:c r="M14" s="10"/>
      <x:c r="N14" s="10"/>
    </x:row>
    <x:row r="15" ht="25" customHeight="1">
      <x:c r="A15" s="25" t="str">
        <x:v>Practice exact matches</x:v>
      </x:c>
      <x:c r="B15" s="25"/>
      <x:c r="C15" s="25"/>
      <x:c r="D15" s="25"/>
      <x:c r="E15" s="101" t="n">
        <x:f>COUNTIF('Practice Workbench'!I7:I26,"MATCH")</x:f>
        <x:v>0</x:v>
      </x:c>
      <x:c r="F15" s="101"/>
      <x:c r="G15" s="101"/>
      <x:c r="H15" s="101"/>
      <x:c r="I15" s="10" t="str">
        <x:v>Corrected entries compared with fixed key</x:v>
      </x:c>
      <x:c r="J15" s="10"/>
      <x:c r="K15" s="10"/>
      <x:c r="L15" s="10"/>
      <x:c r="M15" s="10"/>
      <x:c r="N15" s="10"/>
    </x:row>
    <x:row r="16" ht="25" customHeight="1">
      <x:c r="A16" s="25" t="str">
        <x:v>Practice completion</x:v>
      </x:c>
      <x:c r="B16" s="25"/>
      <x:c r="C16" s="25"/>
      <x:c r="D16" s="25"/>
      <x:c r="E16" s="101" t="str">
        <x:f>COUNTA('Practice Workbench'!B7:B26)&amp;" / 20"</x:f>
        <x:v>0 / 20</x:v>
      </x:c>
      <x:c r="F16" s="101"/>
      <x:c r="G16" s="101"/>
      <x:c r="H16" s="101"/>
      <x:c r="I16" s="10" t="str">
        <x:v>Count of attempted organization entries</x:v>
      </x:c>
      <x:c r="J16" s="10"/>
      <x:c r="K16" s="10"/>
      <x:c r="L16" s="10"/>
      <x:c r="M16" s="10"/>
      <x:c r="N16" s="10"/>
    </x:row>
    <x:row r="17" ht="25" customHeight="1">
      <x:c r="A17" s="25" t="str">
        <x:v>Practice accuracy</x:v>
      </x:c>
      <x:c r="B17" s="25"/>
      <x:c r="C17" s="25"/>
      <x:c r="D17" s="25"/>
      <x:c r="E17" s="104" t="n">
        <x:f>IFERROR(COUNTIF('Practice Workbench'!I7:I26,"MATCH")/COUNTIF('Practice Workbench'!I7:I26,"&lt;&gt;NOT STARTED"),0)</x:f>
        <x:v>0</x:v>
      </x:c>
      <x:c r="F17" s="101"/>
      <x:c r="G17" s="101"/>
      <x:c r="H17" s="101"/>
      <x:c r="I17" s="10" t="str">
        <x:v>Accuracy on attempted entries, 0% before practice</x:v>
      </x:c>
      <x:c r="J17" s="10"/>
      <x:c r="K17" s="10"/>
      <x:c r="L17" s="10"/>
      <x:c r="M17" s="10"/>
      <x:c r="N17" s="10"/>
    </x:row>
    <x:row r="20" ht="26" customHeight="1">
      <x:c r="A20" s="107" t="str">
        <x:v>DISPOSITION MIX</x:v>
      </x:c>
      <x:c r="B20" s="107"/>
      <x:c r="C20" s="107"/>
      <x:c r="D20" s="107"/>
      <x:c r="E20" s="107"/>
      <x:c r="F20" s="107"/>
    </x:row>
    <x:row r="21">
      <x:c r="A21" s="110" t="str">
        <x:v>Status</x:v>
      </x:c>
      <x:c r="B21" s="110" t="str">
        <x:v>Count</x:v>
      </x:c>
    </x:row>
    <x:row r="22">
      <x:c r="A22" t="str">
        <x:v>Accepted</x:v>
      </x:c>
      <x:c r="B22" t="n">
        <x:f>COUNTIF('Intake Review'!N7:N36,"Accepted")</x:f>
        <x:v>9</x:v>
      </x:c>
    </x:row>
    <x:row r="23">
      <x:c r="A23" t="str">
        <x:v>Duplicate</x:v>
      </x:c>
      <x:c r="B23" t="n">
        <x:f>COUNTIF('Intake Review'!N7:N36,"Duplicate")</x:f>
        <x:v>2</x:v>
      </x:c>
    </x:row>
    <x:row r="24">
      <x:c r="A24" t="str">
        <x:v>Hold</x:v>
      </x:c>
      <x:c r="B24" t="n">
        <x:f>COUNTIF('Intake Review'!N7:N36,"Hold")</x:f>
        <x:v>1</x:v>
      </x:c>
    </x:row>
    <x:row r="25">
      <x:c r="A25" t="str">
        <x:v>Pending</x:v>
      </x:c>
      <x:c r="B25" t="n">
        <x:f>COUNTIF('Intake Review'!O7:O36,"PENDING")</x:f>
        <x:v>0</x:v>
      </x:c>
    </x:row>
    <x:row r="28" ht="33" customHeight="1">
      <x:c r="A28" s="43" t="str">
        <x:v>OPERATIONAL NOTE: Screening formulas assist review; they do not replace identity verification or authorization.</x:v>
      </x:c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</x:row>
  </x:sheetData>
  <x:mergeCells>
    <x:mergeCell ref="A1:N2"/>
    <x:mergeCell ref="A3:N3"/>
    <x:mergeCell ref="A5:C5"/>
    <x:mergeCell ref="A6:C8"/>
    <x:mergeCell ref="D5:F5"/>
    <x:mergeCell ref="D6:F8"/>
    <x:mergeCell ref="G5:I5"/>
    <x:mergeCell ref="G6:I8"/>
    <x:mergeCell ref="J5:L5"/>
    <x:mergeCell ref="J6:L8"/>
    <x:mergeCell ref="A10:D10"/>
    <x:mergeCell ref="E10:H10"/>
    <x:mergeCell ref="I10:N10"/>
    <x:mergeCell ref="A11:D11"/>
    <x:mergeCell ref="E11:H11"/>
    <x:mergeCell ref="I11:N11"/>
    <x:mergeCell ref="A12:D12"/>
    <x:mergeCell ref="E12:H12"/>
    <x:mergeCell ref="I12:N12"/>
    <x:mergeCell ref="A13:D13"/>
    <x:mergeCell ref="E13:H13"/>
    <x:mergeCell ref="I13:N13"/>
    <x:mergeCell ref="A14:D14"/>
    <x:mergeCell ref="E14:H14"/>
    <x:mergeCell ref="I14:N14"/>
    <x:mergeCell ref="A15:D15"/>
    <x:mergeCell ref="E15:H15"/>
    <x:mergeCell ref="I15:N15"/>
    <x:mergeCell ref="A16:D16"/>
    <x:mergeCell ref="E16:H16"/>
    <x:mergeCell ref="I16:N16"/>
    <x:mergeCell ref="A17:D17"/>
    <x:mergeCell ref="E17:H17"/>
    <x:mergeCell ref="I17:N17"/>
    <x:mergeCell ref="A20:F20"/>
    <x:mergeCell ref="A28:N28"/>
  </x:mergeCells>
  <x:pageMargins left="0.7" right="0.7" top="0.75" bottom="0.75" header="0.3" footer="0.3"/>
  <x:drawing xmlns:r="http://schemas.openxmlformats.org/officeDocument/2006/relationships" r:id="Rebcf12ebbf6b41a5"/>
</x:worksheet>
</file>

<file path=xl/worksheets/sheet3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31" hidden="0" customWidth="1"/>
    <x:col min="3" max="3" width="19" hidden="0" customWidth="1"/>
    <x:col min="4" max="4" width="38" hidden="0" customWidth="1"/>
    <x:col min="5" max="5" width="13" hidden="0" customWidth="1"/>
    <x:col min="6" max="6" width="16" hidden="0" customWidth="1"/>
    <x:col min="7" max="7" width="30" hidden="0" customWidth="1"/>
    <x:col min="8" max="8" width="19" hidden="0" customWidth="1"/>
    <x:col min="9" max="9" width="38" hidden="0" customWidth="1"/>
    <x:col min="10" max="10" width="10" hidden="0" customWidth="1"/>
    <x:col min="11" max="11" width="19" hidden="0" customWidth="1"/>
    <x:col min="12" max="12" width="18" hidden="0" customWidth="1"/>
    <x:col min="13" max="13" width="21" hidden="0" customWidth="1"/>
    <x:col min="14" max="14" width="19" hidden="0" customWidth="1"/>
    <x:col min="15" max="15" width="16" hidden="0" customWidth="1"/>
  </x:cols>
  <x:sheetData>
    <x:row r="1" ht="25" customHeight="1">
      <x:c r="A1" s="4" t="str">
        <x:v>CUSTOMER INTAKE  |  CLEANING + QA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</x:row>
    <x:row r="2" ht="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</x:row>
    <x:row r="3" ht="27" customHeight="1">
      <x:c r="A3" s="10" t="str">
        <x:v>12 source submissions • 9 accepted • 2 duplicates • 1 held • rows 19–36 available for new data</x:v>
      </x:c>
      <x:c r="B3" s="10"/>
      <x:c r="C3" s="10"/>
      <x:c r="D3" s="10"/>
      <x:c r="E3" s="10"/>
      <x:c r="F3" s="10"/>
      <x:c r="G3" s="10"/>
      <x:c r="H3" s="10"/>
      <x:c r="I3" s="10"/>
      <x:c r="J3" s="10"/>
      <x:c r="K3" s="10"/>
      <x:c r="L3" s="10"/>
      <x:c r="M3" s="10"/>
      <x:c r="N3" s="10"/>
      <x:c r="O3" s="10"/>
    </x:row>
    <x:row r="5" ht="24" customHeight="1">
      <x:c r="A5" s="39" t="str">
        <x:v>INPUT • enter/correct source information</x:v>
      </x:c>
      <x:c r="B5" s="39"/>
      <x:c r="C5" s="39"/>
      <x:c r="D5" s="39"/>
      <x:c r="E5" s="39"/>
      <x:c r="F5" s="39"/>
      <x:c r="G5" s="43" t="str">
        <x:v>FORMULA-DRIVEN STANDARDIZATION + SCREENING</x:v>
      </x:c>
      <x:c r="H5" s="43"/>
      <x:c r="I5" s="43"/>
      <x:c r="J5" s="43"/>
      <x:c r="K5" s="43"/>
      <x:c r="L5" s="43"/>
      <x:c r="M5" s="43"/>
      <x:c r="N5" s="48" t="str">
        <x:v>REVIEW CONTROL</x:v>
      </x:c>
      <x:c r="O5" s="48"/>
    </x:row>
    <x:row r="6" ht="36" customHeight="1">
      <x:c r="A6" s="55" t="str">
        <x:v>Source ID</x:v>
      </x:c>
      <x:c r="B6" s="55" t="str">
        <x:v>Business / raw</x:v>
      </x:c>
      <x:c r="C6" s="55" t="str">
        <x:v>Contact / raw</x:v>
      </x:c>
      <x:c r="D6" s="55" t="str">
        <x:v>Email / raw</x:v>
      </x:c>
      <x:c r="E6" s="55" t="str">
        <x:v>State / raw</x:v>
      </x:c>
      <x:c r="F6" s="55" t="str">
        <x:v>Submitted</x:v>
      </x:c>
      <x:c r="G6" s="55" t="str">
        <x:v>Clean business</x:v>
      </x:c>
      <x:c r="H6" s="55" t="str">
        <x:v>Clean contact</x:v>
      </x:c>
      <x:c r="I6" s="55" t="str">
        <x:v>Clean email</x:v>
      </x:c>
      <x:c r="J6" s="55" t="str">
        <x:v>State</x:v>
      </x:c>
      <x:c r="K6" s="55" t="str">
        <x:v>Required fields</x:v>
      </x:c>
      <x:c r="L6" s="55" t="str">
        <x:v>Duplicate flag</x:v>
      </x:c>
      <x:c r="M6" s="55" t="str">
        <x:v>Suggested action</x:v>
      </x:c>
      <x:c r="N6" s="55" t="str">
        <x:v>Reviewer decision</x:v>
      </x:c>
      <x:c r="O6" s="55" t="str">
        <x:v>QA status</x:v>
      </x:c>
    </x:row>
    <x:row r="7" ht="21" customHeight="1">
      <x:c r="A7" s="66" t="str">
        <x:v>001</x:v>
      </x:c>
      <x:c r="B7" s="66" t="str">
        <x:v> NorthWay Office Supplies </x:v>
      </x:c>
      <x:c r="C7" s="66" t="str">
        <x:v>Mira  Kent</x:v>
      </x:c>
      <x:c r="D7" s="66" t="str">
        <x:v>MIRA.KENT@northway.example</x:v>
      </x:c>
      <x:c r="E7" s="66" t="str">
        <x:v>nc</x:v>
      </x:c>
      <x:c r="F7" s="67" t="n">
        <x:v>46314</x:v>
      </x:c>
      <x:c r="G7" s="70" t="str">
        <x:f>IF(A7="","",PROPER(TRIM(B7)))</x:f>
        <x:v>Northway Office Supplies</x:v>
      </x:c>
      <x:c r="H7" s="70" t="str">
        <x:f>IF(A7="","",PROPER(TRIM(C7)))</x:f>
        <x:v>Mira Kent</x:v>
      </x:c>
      <x:c r="I7" s="70" t="str">
        <x:f>IF(A7="","",LOWER(TRIM(D7)))</x:f>
        <x:v>mira.kent@northway.example</x:v>
      </x:c>
      <x:c r="J7" s="70" t="str">
        <x:f>IF(A7="","",UPPER(TRIM(E7)))</x:f>
        <x:v>NC</x:v>
      </x:c>
      <x:c r="K7" s="70" t="str">
        <x:f>IF(A7="","",IF(OR(G7="",H7="",I7="",J7=""),"INCOMPLETE","COMPLETE"))</x:f>
        <x:v>COMPLETE</x:v>
      </x:c>
      <x:c r="L7" s="70" t="str">
        <x:f>IF(A7="","",IF(I7="","NOT TESTED",IF(COUNTIF($I$7:I7,I7)&gt;1,"Duplicate","Unique")))</x:f>
        <x:v>Unique</x:v>
      </x:c>
      <x:c r="M7" s="70" t="str">
        <x:f>IF(A7="","",IF(K7="INCOMPLETE","Hold",IF(L7="Duplicate","Duplicate","Accepted")))</x:f>
        <x:v>Accepted</x:v>
      </x:c>
      <x:c r="N7" s="66" t="str">
        <x:v>Accepted</x:v>
      </x:c>
      <x:c r="O7" s="72" t="str">
        <x:f>IF(A7="","",IF(N7="","PENDING",IF(N7=M7,"PASS","REVIEW")))</x:f>
        <x:v>PASS</x:v>
      </x:c>
    </x:row>
    <x:row r="8" ht="21" customHeight="1">
      <x:c r="A8" s="66" t="str">
        <x:v>002</x:v>
      </x:c>
      <x:c r="B8" s="66" t="str">
        <x:v>Cedar Pine Logistics</x:v>
      </x:c>
      <x:c r="C8" s="66" t="str">
        <x:v>Eli Porter</x:v>
      </x:c>
      <x:c r="D8" s="66" t="str">
        <x:v>eli.porter@cedarpine.example</x:v>
      </x:c>
      <x:c r="E8" s="66" t="str">
        <x:v>SC</x:v>
      </x:c>
      <x:c r="F8" s="67" t="n">
        <x:v>46315</x:v>
      </x:c>
      <x:c r="G8" s="70" t="str">
        <x:f>IF(A8="","",PROPER(TRIM(B8)))</x:f>
        <x:v>Cedar Pine Logistics</x:v>
      </x:c>
      <x:c r="H8" s="70" t="str">
        <x:f>IF(A8="","",PROPER(TRIM(C8)))</x:f>
        <x:v>Eli Porter</x:v>
      </x:c>
      <x:c r="I8" s="70" t="str">
        <x:f>IF(A8="","",LOWER(TRIM(D8)))</x:f>
        <x:v>eli.porter@cedarpine.example</x:v>
      </x:c>
      <x:c r="J8" s="70" t="str">
        <x:f>IF(A8="","",UPPER(TRIM(E8)))</x:f>
        <x:v>SC</x:v>
      </x:c>
      <x:c r="K8" s="70" t="str">
        <x:f>IF(A8="","",IF(OR(G8="",H8="",I8="",J8=""),"INCOMPLETE","COMPLETE"))</x:f>
        <x:v>COMPLETE</x:v>
      </x:c>
      <x:c r="L8" s="70" t="str">
        <x:f>IF(A8="","",IF(I8="","NOT TESTED",IF(COUNTIF($I$7:I8,I8)&gt;1,"Duplicate","Unique")))</x:f>
        <x:v>Unique</x:v>
      </x:c>
      <x:c r="M8" s="70" t="str">
        <x:f>IF(A8="","",IF(K8="INCOMPLETE","Hold",IF(L8="Duplicate","Duplicate","Accepted")))</x:f>
        <x:v>Accepted</x:v>
      </x:c>
      <x:c r="N8" s="66" t="str">
        <x:v>Accepted</x:v>
      </x:c>
      <x:c r="O8" s="72" t="str">
        <x:f>IF(A8="","",IF(N8="","PENDING",IF(N8=M8,"PASS","REVIEW")))</x:f>
        <x:v>PASS</x:v>
      </x:c>
    </x:row>
    <x:row r="9" ht="21" customHeight="1">
      <x:c r="A9" s="66" t="str">
        <x:v>003</x:v>
      </x:c>
      <x:c r="B9" s="66" t="str">
        <x:v>Northway Office Supply</x:v>
      </x:c>
      <x:c r="C9" s="66" t="str">
        <x:v>Mira Kent</x:v>
      </x:c>
      <x:c r="D9" s="66" t="str">
        <x:v>mira.kent@northway.example</x:v>
      </x:c>
      <x:c r="E9" s="66" t="str">
        <x:v>NC</x:v>
      </x:c>
      <x:c r="F9" s="67" t="n">
        <x:v>46315</x:v>
      </x:c>
      <x:c r="G9" s="70" t="str">
        <x:f>IF(A9="","",PROPER(TRIM(B9)))</x:f>
        <x:v>Northway Office Supply</x:v>
      </x:c>
      <x:c r="H9" s="70" t="str">
        <x:f>IF(A9="","",PROPER(TRIM(C9)))</x:f>
        <x:v>Mira Kent</x:v>
      </x:c>
      <x:c r="I9" s="70" t="str">
        <x:f>IF(A9="","",LOWER(TRIM(D9)))</x:f>
        <x:v>mira.kent@northway.example</x:v>
      </x:c>
      <x:c r="J9" s="70" t="str">
        <x:f>IF(A9="","",UPPER(TRIM(E9)))</x:f>
        <x:v>NC</x:v>
      </x:c>
      <x:c r="K9" s="70" t="str">
        <x:f>IF(A9="","",IF(OR(G9="",H9="",I9="",J9=""),"INCOMPLETE","COMPLETE"))</x:f>
        <x:v>COMPLETE</x:v>
      </x:c>
      <x:c r="L9" s="70" t="str">
        <x:f>IF(A9="","",IF(I9="","NOT TESTED",IF(COUNTIF($I$7:I9,I9)&gt;1,"Duplicate","Unique")))</x:f>
        <x:v>Duplicate</x:v>
      </x:c>
      <x:c r="M9" s="70" t="str">
        <x:f>IF(A9="","",IF(K9="INCOMPLETE","Hold",IF(L9="Duplicate","Duplicate","Accepted")))</x:f>
        <x:v>Duplicate</x:v>
      </x:c>
      <x:c r="N9" s="66" t="str">
        <x:v>Duplicate</x:v>
      </x:c>
      <x:c r="O9" s="72" t="str">
        <x:f>IF(A9="","",IF(N9="","PENDING",IF(N9=M9,"PASS","REVIEW")))</x:f>
        <x:v>PASS</x:v>
      </x:c>
    </x:row>
    <x:row r="10" ht="21" customHeight="1">
      <x:c r="A10" s="66" t="str">
        <x:v>004</x:v>
      </x:c>
      <x:c r="B10" s="66" t="str">
        <x:v>laurel brook studio</x:v>
      </x:c>
      <x:c r="C10" s="66" t="str">
        <x:v>Dana Ross</x:v>
      </x:c>
      <x:c r="D10" s="66" t="str">
        <x:v>dana.ross@laurelbrook.example</x:v>
      </x:c>
      <x:c r="E10" s="66" t="str">
        <x:v>va</x:v>
      </x:c>
      <x:c r="F10" s="67" t="n">
        <x:v>46316</x:v>
      </x:c>
      <x:c r="G10" s="70" t="str">
        <x:f>IF(A10="","",PROPER(TRIM(B10)))</x:f>
        <x:v>Laurel Brook Studio</x:v>
      </x:c>
      <x:c r="H10" s="70" t="str">
        <x:f>IF(A10="","",PROPER(TRIM(C10)))</x:f>
        <x:v>Dana Ross</x:v>
      </x:c>
      <x:c r="I10" s="70" t="str">
        <x:f>IF(A10="","",LOWER(TRIM(D10)))</x:f>
        <x:v>dana.ross@laurelbrook.example</x:v>
      </x:c>
      <x:c r="J10" s="70" t="str">
        <x:f>IF(A10="","",UPPER(TRIM(E10)))</x:f>
        <x:v>VA</x:v>
      </x:c>
      <x:c r="K10" s="70" t="str">
        <x:f>IF(A10="","",IF(OR(G10="",H10="",I10="",J10=""),"INCOMPLETE","COMPLETE"))</x:f>
        <x:v>COMPLETE</x:v>
      </x:c>
      <x:c r="L10" s="70" t="str">
        <x:f>IF(A10="","",IF(I10="","NOT TESTED",IF(COUNTIF($I$7:I10,I10)&gt;1,"Duplicate","Unique")))</x:f>
        <x:v>Unique</x:v>
      </x:c>
      <x:c r="M10" s="70" t="str">
        <x:f>IF(A10="","",IF(K10="INCOMPLETE","Hold",IF(L10="Duplicate","Duplicate","Accepted")))</x:f>
        <x:v>Accepted</x:v>
      </x:c>
      <x:c r="N10" s="66" t="str">
        <x:v>Accepted</x:v>
      </x:c>
      <x:c r="O10" s="72" t="str">
        <x:f>IF(A10="","",IF(N10="","PENDING",IF(N10=M10,"PASS","REVIEW")))</x:f>
        <x:v>PASS</x:v>
      </x:c>
    </x:row>
    <x:row r="11" ht="21" customHeight="1">
      <x:c r="A11" s="66" t="str">
        <x:v>005</x:v>
      </x:c>
      <x:c r="B11" s="66" t="str">
        <x:v>Harbor North Dental</x:v>
      </x:c>
      <x:c r="C11" s="66" t="str">
        <x:v>Rina Sol</x:v>
      </x:c>
      <x:c r="D11" s="66" t="str">
        <x:v>rina.sol@harbornorth.example</x:v>
      </x:c>
      <x:c r="E11" s="66" t="str">
        <x:v>NC</x:v>
      </x:c>
      <x:c r="F11" s="67" t="n">
        <x:v>46316</x:v>
      </x:c>
      <x:c r="G11" s="70" t="str">
        <x:f>IF(A11="","",PROPER(TRIM(B11)))</x:f>
        <x:v>Harbor North Dental</x:v>
      </x:c>
      <x:c r="H11" s="70" t="str">
        <x:f>IF(A11="","",PROPER(TRIM(C11)))</x:f>
        <x:v>Rina Sol</x:v>
      </x:c>
      <x:c r="I11" s="70" t="str">
        <x:f>IF(A11="","",LOWER(TRIM(D11)))</x:f>
        <x:v>rina.sol@harbornorth.example</x:v>
      </x:c>
      <x:c r="J11" s="70" t="str">
        <x:f>IF(A11="","",UPPER(TRIM(E11)))</x:f>
        <x:v>NC</x:v>
      </x:c>
      <x:c r="K11" s="70" t="str">
        <x:f>IF(A11="","",IF(OR(G11="",H11="",I11="",J11=""),"INCOMPLETE","COMPLETE"))</x:f>
        <x:v>COMPLETE</x:v>
      </x:c>
      <x:c r="L11" s="70" t="str">
        <x:f>IF(A11="","",IF(I11="","NOT TESTED",IF(COUNTIF($I$7:I11,I11)&gt;1,"Duplicate","Unique")))</x:f>
        <x:v>Unique</x:v>
      </x:c>
      <x:c r="M11" s="70" t="str">
        <x:f>IF(A11="","",IF(K11="INCOMPLETE","Hold",IF(L11="Duplicate","Duplicate","Accepted")))</x:f>
        <x:v>Accepted</x:v>
      </x:c>
      <x:c r="N11" s="66" t="str">
        <x:v>Accepted</x:v>
      </x:c>
      <x:c r="O11" s="72" t="str">
        <x:f>IF(A11="","",IF(N11="","PENDING",IF(N11=M11,"PASS","REVIEW")))</x:f>
        <x:v>PASS</x:v>
      </x:c>
    </x:row>
    <x:row r="12" ht="21" customHeight="1">
      <x:c r="A12" s="66" t="str">
        <x:v>006</x:v>
      </x:c>
      <x:c r="B12" s="66" t="str">
        <x:v>W. Glen Holdings</x:v>
      </x:c>
      <x:c r="C12" s="66" t="str">
        <x:v>Jules Reed</x:v>
      </x:c>
      <x:c r="D12" s="66" t="str">
        <x:v>jules.reed@westglen.example</x:v>
      </x:c>
      <x:c r="E12" s="66" t="str">
        <x:v>ga</x:v>
      </x:c>
      <x:c r="F12" s="67" t="n">
        <x:v>46317</x:v>
      </x:c>
      <x:c r="G12" s="70" t="str">
        <x:f>IF(A12="","",PROPER(TRIM(B12)))</x:f>
        <x:v>W. Glen Holdings</x:v>
      </x:c>
      <x:c r="H12" s="70" t="str">
        <x:f>IF(A12="","",PROPER(TRIM(C12)))</x:f>
        <x:v>Jules Reed</x:v>
      </x:c>
      <x:c r="I12" s="70" t="str">
        <x:f>IF(A12="","",LOWER(TRIM(D12)))</x:f>
        <x:v>jules.reed@westglen.example</x:v>
      </x:c>
      <x:c r="J12" s="70" t="str">
        <x:f>IF(A12="","",UPPER(TRIM(E12)))</x:f>
        <x:v>GA</x:v>
      </x:c>
      <x:c r="K12" s="70" t="str">
        <x:f>IF(A12="","",IF(OR(G12="",H12="",I12="",J12=""),"INCOMPLETE","COMPLETE"))</x:f>
        <x:v>COMPLETE</x:v>
      </x:c>
      <x:c r="L12" s="70" t="str">
        <x:f>IF(A12="","",IF(I12="","NOT TESTED",IF(COUNTIF($I$7:I12,I12)&gt;1,"Duplicate","Unique")))</x:f>
        <x:v>Unique</x:v>
      </x:c>
      <x:c r="M12" s="70" t="str">
        <x:f>IF(A12="","",IF(K12="INCOMPLETE","Hold",IF(L12="Duplicate","Duplicate","Accepted")))</x:f>
        <x:v>Accepted</x:v>
      </x:c>
      <x:c r="N12" s="66" t="str">
        <x:v>Accepted</x:v>
      </x:c>
      <x:c r="O12" s="72" t="str">
        <x:f>IF(A12="","",IF(N12="","PENDING",IF(N12=M12,"PASS","REVIEW")))</x:f>
        <x:v>PASS</x:v>
      </x:c>
    </x:row>
    <x:row r="13" ht="21" customHeight="1">
      <x:c r="A13" s="66" t="str">
        <x:v>007</x:v>
      </x:c>
      <x:c r="B13" s="66" t="str">
        <x:v>West Glen Holdings</x:v>
      </x:c>
      <x:c r="C13" s="66" t="str">
        <x:v>Jules Reed</x:v>
      </x:c>
      <x:c r="D13" s="66" t="str">
        <x:v>JULES.REED@westglen.example</x:v>
      </x:c>
      <x:c r="E13" s="66" t="str">
        <x:v>GA</x:v>
      </x:c>
      <x:c r="F13" s="67" t="n">
        <x:v>46317</x:v>
      </x:c>
      <x:c r="G13" s="70" t="str">
        <x:f>IF(A13="","",PROPER(TRIM(B13)))</x:f>
        <x:v>West Glen Holdings</x:v>
      </x:c>
      <x:c r="H13" s="70" t="str">
        <x:f>IF(A13="","",PROPER(TRIM(C13)))</x:f>
        <x:v>Jules Reed</x:v>
      </x:c>
      <x:c r="I13" s="70" t="str">
        <x:f>IF(A13="","",LOWER(TRIM(D13)))</x:f>
        <x:v>jules.reed@westglen.example</x:v>
      </x:c>
      <x:c r="J13" s="70" t="str">
        <x:f>IF(A13="","",UPPER(TRIM(E13)))</x:f>
        <x:v>GA</x:v>
      </x:c>
      <x:c r="K13" s="70" t="str">
        <x:f>IF(A13="","",IF(OR(G13="",H13="",I13="",J13=""),"INCOMPLETE","COMPLETE"))</x:f>
        <x:v>COMPLETE</x:v>
      </x:c>
      <x:c r="L13" s="70" t="str">
        <x:f>IF(A13="","",IF(I13="","NOT TESTED",IF(COUNTIF($I$7:I13,I13)&gt;1,"Duplicate","Unique")))</x:f>
        <x:v>Duplicate</x:v>
      </x:c>
      <x:c r="M13" s="70" t="str">
        <x:f>IF(A13="","",IF(K13="INCOMPLETE","Hold",IF(L13="Duplicate","Duplicate","Accepted")))</x:f>
        <x:v>Duplicate</x:v>
      </x:c>
      <x:c r="N13" s="66" t="str">
        <x:v>Duplicate</x:v>
      </x:c>
      <x:c r="O13" s="72" t="str">
        <x:f>IF(A13="","",IF(N13="","PENDING",IF(N13=M13,"PASS","REVIEW")))</x:f>
        <x:v>PASS</x:v>
      </x:c>
    </x:row>
    <x:row r="14" ht="21" customHeight="1">
      <x:c r="A14" s="66" t="str">
        <x:v>008</x:v>
      </x:c>
      <x:c r="B14" s="66" t="str">
        <x:v>Aster Labs</x:v>
      </x:c>
      <x:c r="C14" s="66" t="str">
        <x:v>Noel Park</x:v>
      </x:c>
      <x:c r="D14" s="66" t="str">
        <x:v>noel.park@asterlabs.example</x:v>
      </x:c>
      <x:c r="E14" s="66" t="str">
        <x:v>NC</x:v>
      </x:c>
      <x:c r="F14" s="67" t="n">
        <x:v>46318</x:v>
      </x:c>
      <x:c r="G14" s="70" t="str">
        <x:f>IF(A14="","",PROPER(TRIM(B14)))</x:f>
        <x:v>Aster Labs</x:v>
      </x:c>
      <x:c r="H14" s="70" t="str">
        <x:f>IF(A14="","",PROPER(TRIM(C14)))</x:f>
        <x:v>Noel Park</x:v>
      </x:c>
      <x:c r="I14" s="70" t="str">
        <x:f>IF(A14="","",LOWER(TRIM(D14)))</x:f>
        <x:v>noel.park@asterlabs.example</x:v>
      </x:c>
      <x:c r="J14" s="70" t="str">
        <x:f>IF(A14="","",UPPER(TRIM(E14)))</x:f>
        <x:v>NC</x:v>
      </x:c>
      <x:c r="K14" s="70" t="str">
        <x:f>IF(A14="","",IF(OR(G14="",H14="",I14="",J14=""),"INCOMPLETE","COMPLETE"))</x:f>
        <x:v>COMPLETE</x:v>
      </x:c>
      <x:c r="L14" s="70" t="str">
        <x:f>IF(A14="","",IF(I14="","NOT TESTED",IF(COUNTIF($I$7:I14,I14)&gt;1,"Duplicate","Unique")))</x:f>
        <x:v>Unique</x:v>
      </x:c>
      <x:c r="M14" s="70" t="str">
        <x:f>IF(A14="","",IF(K14="INCOMPLETE","Hold",IF(L14="Duplicate","Duplicate","Accepted")))</x:f>
        <x:v>Accepted</x:v>
      </x:c>
      <x:c r="N14" s="66" t="str">
        <x:v>Accepted</x:v>
      </x:c>
      <x:c r="O14" s="72" t="str">
        <x:f>IF(A14="","",IF(N14="","PENDING",IF(N14=M14,"PASS","REVIEW")))</x:f>
        <x:v>PASS</x:v>
      </x:c>
    </x:row>
    <x:row r="15" ht="21" customHeight="1">
      <x:c r="A15" s="66" t="str">
        <x:v>009</x:v>
      </x:c>
      <x:c r="B15" s="66" t="str">
        <x:v>Marble Finch LLC</x:v>
      </x:c>
      <x:c r="C15" s="66" t="str">
        <x:v>Ada Ford</x:v>
      </x:c>
      <x:c r="D15" s="66" t="str">
        <x:v>ada.ford@marblefinch.example</x:v>
      </x:c>
      <x:c r="E15" s="66" t="str">
        <x:v>nc</x:v>
      </x:c>
      <x:c r="F15" s="67" t="n">
        <x:v>46318</x:v>
      </x:c>
      <x:c r="G15" s="70" t="str">
        <x:f>IF(A15="","",PROPER(TRIM(B15)))</x:f>
        <x:v>Marble Finch Llc</x:v>
      </x:c>
      <x:c r="H15" s="70" t="str">
        <x:f>IF(A15="","",PROPER(TRIM(C15)))</x:f>
        <x:v>Ada Ford</x:v>
      </x:c>
      <x:c r="I15" s="70" t="str">
        <x:f>IF(A15="","",LOWER(TRIM(D15)))</x:f>
        <x:v>ada.ford@marblefinch.example</x:v>
      </x:c>
      <x:c r="J15" s="70" t="str">
        <x:f>IF(A15="","",UPPER(TRIM(E15)))</x:f>
        <x:v>NC</x:v>
      </x:c>
      <x:c r="K15" s="70" t="str">
        <x:f>IF(A15="","",IF(OR(G15="",H15="",I15="",J15=""),"INCOMPLETE","COMPLETE"))</x:f>
        <x:v>COMPLETE</x:v>
      </x:c>
      <x:c r="L15" s="70" t="str">
        <x:f>IF(A15="","",IF(I15="","NOT TESTED",IF(COUNTIF($I$7:I15,I15)&gt;1,"Duplicate","Unique")))</x:f>
        <x:v>Unique</x:v>
      </x:c>
      <x:c r="M15" s="70" t="str">
        <x:f>IF(A15="","",IF(K15="INCOMPLETE","Hold",IF(L15="Duplicate","Duplicate","Accepted")))</x:f>
        <x:v>Accepted</x:v>
      </x:c>
      <x:c r="N15" s="66" t="str">
        <x:v>Accepted</x:v>
      </x:c>
      <x:c r="O15" s="72" t="str">
        <x:f>IF(A15="","",IF(N15="","PENDING",IF(N15=M15,"PASS","REVIEW")))</x:f>
        <x:v>PASS</x:v>
      </x:c>
    </x:row>
    <x:row r="16" ht="21" customHeight="1">
      <x:c r="A16" s="66" t="str">
        <x:v>010</x:v>
      </x:c>
      <x:c r="B16" s="66" t="str">
        <x:v>Hollow Creek Foods</x:v>
      </x:c>
      <x:c r="C16" s="66" t="str">
        <x:v>Lia Moss</x:v>
      </x:c>
      <x:c r="D16" s="66" t="str"/>
      <x:c r="E16" s="66" t="str">
        <x:v>TN</x:v>
      </x:c>
      <x:c r="F16" s="67" t="n">
        <x:v>46319</x:v>
      </x:c>
      <x:c r="G16" s="70" t="str">
        <x:f>IF(A16="","",PROPER(TRIM(B16)))</x:f>
        <x:v>Hollow Creek Foods</x:v>
      </x:c>
      <x:c r="H16" s="70" t="str">
        <x:f>IF(A16="","",PROPER(TRIM(C16)))</x:f>
        <x:v>Lia Moss</x:v>
      </x:c>
      <x:c r="I16" s="70" t="str">
        <x:f>IF(A16="","",LOWER(TRIM(D16)))</x:f>
      </x:c>
      <x:c r="J16" s="70" t="str">
        <x:f>IF(A16="","",UPPER(TRIM(E16)))</x:f>
        <x:v>TN</x:v>
      </x:c>
      <x:c r="K16" s="70" t="str">
        <x:f>IF(A16="","",IF(OR(G16="",H16="",I16="",J16=""),"INCOMPLETE","COMPLETE"))</x:f>
        <x:v>INCOMPLETE</x:v>
      </x:c>
      <x:c r="L16" s="70" t="str">
        <x:f>IF(A16="","",IF(I16="","NOT TESTED",IF(COUNTIF($I$7:I16,I16)&gt;1,"Duplicate","Unique")))</x:f>
        <x:v>NOT TESTED</x:v>
      </x:c>
      <x:c r="M16" s="70" t="str">
        <x:f>IF(A16="","",IF(K16="INCOMPLETE","Hold",IF(L16="Duplicate","Duplicate","Accepted")))</x:f>
        <x:v>Hold</x:v>
      </x:c>
      <x:c r="N16" s="66" t="str">
        <x:v>Hold</x:v>
      </x:c>
      <x:c r="O16" s="72" t="str">
        <x:f>IF(A16="","",IF(N16="","PENDING",IF(N16=M16,"PASS","REVIEW")))</x:f>
        <x:v>PASS</x:v>
      </x:c>
    </x:row>
    <x:row r="17" ht="21" customHeight="1">
      <x:c r="A17" s="66" t="str">
        <x:v>011</x:v>
      </x:c>
      <x:c r="B17" s="66" t="str">
        <x:v>Pine Lake Co</x:v>
      </x:c>
      <x:c r="C17" s="66" t="str">
        <x:v>Beck Lee</x:v>
      </x:c>
      <x:c r="D17" s="66" t="str">
        <x:v>beck.lee@pinelake.example</x:v>
      </x:c>
      <x:c r="E17" s="66" t="str">
        <x:v>TX</x:v>
      </x:c>
      <x:c r="F17" s="67" t="n">
        <x:v>46320</x:v>
      </x:c>
      <x:c r="G17" s="70" t="str">
        <x:f>IF(A17="","",PROPER(TRIM(B17)))</x:f>
        <x:v>Pine Lake Co</x:v>
      </x:c>
      <x:c r="H17" s="70" t="str">
        <x:f>IF(A17="","",PROPER(TRIM(C17)))</x:f>
        <x:v>Beck Lee</x:v>
      </x:c>
      <x:c r="I17" s="70" t="str">
        <x:f>IF(A17="","",LOWER(TRIM(D17)))</x:f>
        <x:v>beck.lee@pinelake.example</x:v>
      </x:c>
      <x:c r="J17" s="70" t="str">
        <x:f>IF(A17="","",UPPER(TRIM(E17)))</x:f>
        <x:v>TX</x:v>
      </x:c>
      <x:c r="K17" s="70" t="str">
        <x:f>IF(A17="","",IF(OR(G17="",H17="",I17="",J17=""),"INCOMPLETE","COMPLETE"))</x:f>
        <x:v>COMPLETE</x:v>
      </x:c>
      <x:c r="L17" s="70" t="str">
        <x:f>IF(A17="","",IF(I17="","NOT TESTED",IF(COUNTIF($I$7:I17,I17)&gt;1,"Duplicate","Unique")))</x:f>
        <x:v>Unique</x:v>
      </x:c>
      <x:c r="M17" s="70" t="str">
        <x:f>IF(A17="","",IF(K17="INCOMPLETE","Hold",IF(L17="Duplicate","Duplicate","Accepted")))</x:f>
        <x:v>Accepted</x:v>
      </x:c>
      <x:c r="N17" s="66" t="str">
        <x:v>Accepted</x:v>
      </x:c>
      <x:c r="O17" s="72" t="str">
        <x:f>IF(A17="","",IF(N17="","PENDING",IF(N17=M17,"PASS","REVIEW")))</x:f>
        <x:v>PASS</x:v>
      </x:c>
    </x:row>
    <x:row r="18" ht="21" customHeight="1">
      <x:c r="A18" s="66" t="str">
        <x:v>012</x:v>
      </x:c>
      <x:c r="B18" s="66" t="str">
        <x:v>Morningside Solar</x:v>
      </x:c>
      <x:c r="C18" s="66" t="str">
        <x:v>Arlo Vega</x:v>
      </x:c>
      <x:c r="D18" s="66" t="str">
        <x:v>arlo.vega@morningside.example</x:v>
      </x:c>
      <x:c r="E18" s="66" t="str">
        <x:v>NC</x:v>
      </x:c>
      <x:c r="F18" s="67" t="n">
        <x:v>46321</x:v>
      </x:c>
      <x:c r="G18" s="70" t="str">
        <x:f>IF(A18="","",PROPER(TRIM(B18)))</x:f>
        <x:v>Morningside Solar</x:v>
      </x:c>
      <x:c r="H18" s="70" t="str">
        <x:f>IF(A18="","",PROPER(TRIM(C18)))</x:f>
        <x:v>Arlo Vega</x:v>
      </x:c>
      <x:c r="I18" s="70" t="str">
        <x:f>IF(A18="","",LOWER(TRIM(D18)))</x:f>
        <x:v>arlo.vega@morningside.example</x:v>
      </x:c>
      <x:c r="J18" s="70" t="str">
        <x:f>IF(A18="","",UPPER(TRIM(E18)))</x:f>
        <x:v>NC</x:v>
      </x:c>
      <x:c r="K18" s="70" t="str">
        <x:f>IF(A18="","",IF(OR(G18="",H18="",I18="",J18=""),"INCOMPLETE","COMPLETE"))</x:f>
        <x:v>COMPLETE</x:v>
      </x:c>
      <x:c r="L18" s="70" t="str">
        <x:f>IF(A18="","",IF(I18="","NOT TESTED",IF(COUNTIF($I$7:I18,I18)&gt;1,"Duplicate","Unique")))</x:f>
        <x:v>Unique</x:v>
      </x:c>
      <x:c r="M18" s="70" t="str">
        <x:f>IF(A18="","",IF(K18="INCOMPLETE","Hold",IF(L18="Duplicate","Duplicate","Accepted")))</x:f>
        <x:v>Accepted</x:v>
      </x:c>
      <x:c r="N18" s="66" t="str">
        <x:v>Accepted</x:v>
      </x:c>
      <x:c r="O18" s="72" t="str">
        <x:f>IF(A18="","",IF(N18="","PENDING",IF(N18=M18,"PASS","REVIEW")))</x:f>
        <x:v>PASS</x:v>
      </x:c>
    </x:row>
    <x:row r="19" ht="21" customHeight="1">
      <x:c r="A19" s="66"/>
      <x:c r="B19" s="66"/>
      <x:c r="C19" s="66"/>
      <x:c r="D19" s="66"/>
      <x:c r="E19" s="66"/>
      <x:c r="F19" s="67"/>
      <x:c r="G19" s="70" t="str">
        <x:f>IF(A19="","",PROPER(TRIM(B19)))</x:f>
      </x:c>
      <x:c r="H19" s="70" t="str">
        <x:f>IF(A19="","",PROPER(TRIM(C19)))</x:f>
      </x:c>
      <x:c r="I19" s="70" t="str">
        <x:f>IF(A19="","",LOWER(TRIM(D19)))</x:f>
      </x:c>
      <x:c r="J19" s="70" t="str">
        <x:f>IF(A19="","",UPPER(TRIM(E19)))</x:f>
      </x:c>
      <x:c r="K19" s="70" t="str">
        <x:f>IF(A19="","",IF(OR(G19="",H19="",I19="",J19=""),"INCOMPLETE","COMPLETE"))</x:f>
      </x:c>
      <x:c r="L19" s="70" t="str">
        <x:f>IF(A19="","",IF(I19="","NOT TESTED",IF(COUNTIF($I$7:I19,I19)&gt;1,"Duplicate","Unique")))</x:f>
      </x:c>
      <x:c r="M19" s="70" t="str">
        <x:f>IF(A19="","",IF(K19="INCOMPLETE","Hold",IF(L19="Duplicate","Duplicate","Accepted")))</x:f>
      </x:c>
      <x:c r="N19" s="66"/>
      <x:c r="O19" s="72" t="str">
        <x:f>IF(A19="","",IF(N19="","PENDING",IF(N19=M19,"PASS","REVIEW")))</x:f>
      </x:c>
    </x:row>
    <x:row r="20" ht="21" customHeight="1">
      <x:c r="A20" s="66"/>
      <x:c r="B20" s="66"/>
      <x:c r="C20" s="66"/>
      <x:c r="D20" s="66"/>
      <x:c r="E20" s="66"/>
      <x:c r="F20" s="67"/>
      <x:c r="G20" s="70" t="str">
        <x:f>IF(A20="","",PROPER(TRIM(B20)))</x:f>
      </x:c>
      <x:c r="H20" s="70" t="str">
        <x:f>IF(A20="","",PROPER(TRIM(C20)))</x:f>
      </x:c>
      <x:c r="I20" s="70" t="str">
        <x:f>IF(A20="","",LOWER(TRIM(D20)))</x:f>
      </x:c>
      <x:c r="J20" s="70" t="str">
        <x:f>IF(A20="","",UPPER(TRIM(E20)))</x:f>
      </x:c>
      <x:c r="K20" s="70" t="str">
        <x:f>IF(A20="","",IF(OR(G20="",H20="",I20="",J20=""),"INCOMPLETE","COMPLETE"))</x:f>
      </x:c>
      <x:c r="L20" s="70" t="str">
        <x:f>IF(A20="","",IF(I20="","NOT TESTED",IF(COUNTIF($I$7:I20,I20)&gt;1,"Duplicate","Unique")))</x:f>
      </x:c>
      <x:c r="M20" s="70" t="str">
        <x:f>IF(A20="","",IF(K20="INCOMPLETE","Hold",IF(L20="Duplicate","Duplicate","Accepted")))</x:f>
      </x:c>
      <x:c r="N20" s="66"/>
      <x:c r="O20" s="72" t="str">
        <x:f>IF(A20="","",IF(N20="","PENDING",IF(N20=M20,"PASS","REVIEW")))</x:f>
      </x:c>
    </x:row>
    <x:row r="21" ht="21" customHeight="1">
      <x:c r="A21" s="66"/>
      <x:c r="B21" s="66"/>
      <x:c r="C21" s="66"/>
      <x:c r="D21" s="66"/>
      <x:c r="E21" s="66"/>
      <x:c r="F21" s="67"/>
      <x:c r="G21" s="70" t="str">
        <x:f>IF(A21="","",PROPER(TRIM(B21)))</x:f>
      </x:c>
      <x:c r="H21" s="70" t="str">
        <x:f>IF(A21="","",PROPER(TRIM(C21)))</x:f>
      </x:c>
      <x:c r="I21" s="70" t="str">
        <x:f>IF(A21="","",LOWER(TRIM(D21)))</x:f>
      </x:c>
      <x:c r="J21" s="70" t="str">
        <x:f>IF(A21="","",UPPER(TRIM(E21)))</x:f>
      </x:c>
      <x:c r="K21" s="70" t="str">
        <x:f>IF(A21="","",IF(OR(G21="",H21="",I21="",J21=""),"INCOMPLETE","COMPLETE"))</x:f>
      </x:c>
      <x:c r="L21" s="70" t="str">
        <x:f>IF(A21="","",IF(I21="","NOT TESTED",IF(COUNTIF($I$7:I21,I21)&gt;1,"Duplicate","Unique")))</x:f>
      </x:c>
      <x:c r="M21" s="70" t="str">
        <x:f>IF(A21="","",IF(K21="INCOMPLETE","Hold",IF(L21="Duplicate","Duplicate","Accepted")))</x:f>
      </x:c>
      <x:c r="N21" s="66"/>
      <x:c r="O21" s="72" t="str">
        <x:f>IF(A21="","",IF(N21="","PENDING",IF(N21=M21,"PASS","REVIEW")))</x:f>
      </x:c>
    </x:row>
    <x:row r="22" ht="21" customHeight="1">
      <x:c r="A22" s="66"/>
      <x:c r="B22" s="66"/>
      <x:c r="C22" s="66"/>
      <x:c r="D22" s="66"/>
      <x:c r="E22" s="66"/>
      <x:c r="F22" s="67"/>
      <x:c r="G22" s="70" t="str">
        <x:f>IF(A22="","",PROPER(TRIM(B22)))</x:f>
      </x:c>
      <x:c r="H22" s="70" t="str">
        <x:f>IF(A22="","",PROPER(TRIM(C22)))</x:f>
      </x:c>
      <x:c r="I22" s="70" t="str">
        <x:f>IF(A22="","",LOWER(TRIM(D22)))</x:f>
      </x:c>
      <x:c r="J22" s="70" t="str">
        <x:f>IF(A22="","",UPPER(TRIM(E22)))</x:f>
      </x:c>
      <x:c r="K22" s="70" t="str">
        <x:f>IF(A22="","",IF(OR(G22="",H22="",I22="",J22=""),"INCOMPLETE","COMPLETE"))</x:f>
      </x:c>
      <x:c r="L22" s="70" t="str">
        <x:f>IF(A22="","",IF(I22="","NOT TESTED",IF(COUNTIF($I$7:I22,I22)&gt;1,"Duplicate","Unique")))</x:f>
      </x:c>
      <x:c r="M22" s="70" t="str">
        <x:f>IF(A22="","",IF(K22="INCOMPLETE","Hold",IF(L22="Duplicate","Duplicate","Accepted")))</x:f>
      </x:c>
      <x:c r="N22" s="66"/>
      <x:c r="O22" s="72" t="str">
        <x:f>IF(A22="","",IF(N22="","PENDING",IF(N22=M22,"PASS","REVIEW")))</x:f>
      </x:c>
    </x:row>
    <x:row r="23" ht="21" customHeight="1">
      <x:c r="A23" s="66"/>
      <x:c r="B23" s="66"/>
      <x:c r="C23" s="66"/>
      <x:c r="D23" s="66"/>
      <x:c r="E23" s="66"/>
      <x:c r="F23" s="67"/>
      <x:c r="G23" s="70" t="str">
        <x:f>IF(A23="","",PROPER(TRIM(B23)))</x:f>
      </x:c>
      <x:c r="H23" s="70" t="str">
        <x:f>IF(A23="","",PROPER(TRIM(C23)))</x:f>
      </x:c>
      <x:c r="I23" s="70" t="str">
        <x:f>IF(A23="","",LOWER(TRIM(D23)))</x:f>
      </x:c>
      <x:c r="J23" s="70" t="str">
        <x:f>IF(A23="","",UPPER(TRIM(E23)))</x:f>
      </x:c>
      <x:c r="K23" s="70" t="str">
        <x:f>IF(A23="","",IF(OR(G23="",H23="",I23="",J23=""),"INCOMPLETE","COMPLETE"))</x:f>
      </x:c>
      <x:c r="L23" s="70" t="str">
        <x:f>IF(A23="","",IF(I23="","NOT TESTED",IF(COUNTIF($I$7:I23,I23)&gt;1,"Duplicate","Unique")))</x:f>
      </x:c>
      <x:c r="M23" s="70" t="str">
        <x:f>IF(A23="","",IF(K23="INCOMPLETE","Hold",IF(L23="Duplicate","Duplicate","Accepted")))</x:f>
      </x:c>
      <x:c r="N23" s="66"/>
      <x:c r="O23" s="72" t="str">
        <x:f>IF(A23="","",IF(N23="","PENDING",IF(N23=M23,"PASS","REVIEW")))</x:f>
      </x:c>
    </x:row>
    <x:row r="24" ht="21" customHeight="1">
      <x:c r="A24" s="66"/>
      <x:c r="B24" s="66"/>
      <x:c r="C24" s="66"/>
      <x:c r="D24" s="66"/>
      <x:c r="E24" s="66"/>
      <x:c r="F24" s="67"/>
      <x:c r="G24" s="70" t="str">
        <x:f>IF(A24="","",PROPER(TRIM(B24)))</x:f>
      </x:c>
      <x:c r="H24" s="70" t="str">
        <x:f>IF(A24="","",PROPER(TRIM(C24)))</x:f>
      </x:c>
      <x:c r="I24" s="70" t="str">
        <x:f>IF(A24="","",LOWER(TRIM(D24)))</x:f>
      </x:c>
      <x:c r="J24" s="70" t="str">
        <x:f>IF(A24="","",UPPER(TRIM(E24)))</x:f>
      </x:c>
      <x:c r="K24" s="70" t="str">
        <x:f>IF(A24="","",IF(OR(G24="",H24="",I24="",J24=""),"INCOMPLETE","COMPLETE"))</x:f>
      </x:c>
      <x:c r="L24" s="70" t="str">
        <x:f>IF(A24="","",IF(I24="","NOT TESTED",IF(COUNTIF($I$7:I24,I24)&gt;1,"Duplicate","Unique")))</x:f>
      </x:c>
      <x:c r="M24" s="70" t="str">
        <x:f>IF(A24="","",IF(K24="INCOMPLETE","Hold",IF(L24="Duplicate","Duplicate","Accepted")))</x:f>
      </x:c>
      <x:c r="N24" s="66"/>
      <x:c r="O24" s="72" t="str">
        <x:f>IF(A24="","",IF(N24="","PENDING",IF(N24=M24,"PASS","REVIEW")))</x:f>
      </x:c>
    </x:row>
    <x:row r="25" ht="21" customHeight="1">
      <x:c r="A25" s="66"/>
      <x:c r="B25" s="66"/>
      <x:c r="C25" s="66"/>
      <x:c r="D25" s="66"/>
      <x:c r="E25" s="66"/>
      <x:c r="F25" s="67"/>
      <x:c r="G25" s="70" t="str">
        <x:f>IF(A25="","",PROPER(TRIM(B25)))</x:f>
      </x:c>
      <x:c r="H25" s="70" t="str">
        <x:f>IF(A25="","",PROPER(TRIM(C25)))</x:f>
      </x:c>
      <x:c r="I25" s="70" t="str">
        <x:f>IF(A25="","",LOWER(TRIM(D25)))</x:f>
      </x:c>
      <x:c r="J25" s="70" t="str">
        <x:f>IF(A25="","",UPPER(TRIM(E25)))</x:f>
      </x:c>
      <x:c r="K25" s="70" t="str">
        <x:f>IF(A25="","",IF(OR(G25="",H25="",I25="",J25=""),"INCOMPLETE","COMPLETE"))</x:f>
      </x:c>
      <x:c r="L25" s="70" t="str">
        <x:f>IF(A25="","",IF(I25="","NOT TESTED",IF(COUNTIF($I$7:I25,I25)&gt;1,"Duplicate","Unique")))</x:f>
      </x:c>
      <x:c r="M25" s="70" t="str">
        <x:f>IF(A25="","",IF(K25="INCOMPLETE","Hold",IF(L25="Duplicate","Duplicate","Accepted")))</x:f>
      </x:c>
      <x:c r="N25" s="66"/>
      <x:c r="O25" s="72" t="str">
        <x:f>IF(A25="","",IF(N25="","PENDING",IF(N25=M25,"PASS","REVIEW")))</x:f>
      </x:c>
    </x:row>
    <x:row r="26" ht="21" customHeight="1">
      <x:c r="A26" s="66"/>
      <x:c r="B26" s="66"/>
      <x:c r="C26" s="66"/>
      <x:c r="D26" s="66"/>
      <x:c r="E26" s="66"/>
      <x:c r="F26" s="67"/>
      <x:c r="G26" s="70" t="str">
        <x:f>IF(A26="","",PROPER(TRIM(B26)))</x:f>
      </x:c>
      <x:c r="H26" s="70" t="str">
        <x:f>IF(A26="","",PROPER(TRIM(C26)))</x:f>
      </x:c>
      <x:c r="I26" s="70" t="str">
        <x:f>IF(A26="","",LOWER(TRIM(D26)))</x:f>
      </x:c>
      <x:c r="J26" s="70" t="str">
        <x:f>IF(A26="","",UPPER(TRIM(E26)))</x:f>
      </x:c>
      <x:c r="K26" s="70" t="str">
        <x:f>IF(A26="","",IF(OR(G26="",H26="",I26="",J26=""),"INCOMPLETE","COMPLETE"))</x:f>
      </x:c>
      <x:c r="L26" s="70" t="str">
        <x:f>IF(A26="","",IF(I26="","NOT TESTED",IF(COUNTIF($I$7:I26,I26)&gt;1,"Duplicate","Unique")))</x:f>
      </x:c>
      <x:c r="M26" s="70" t="str">
        <x:f>IF(A26="","",IF(K26="INCOMPLETE","Hold",IF(L26="Duplicate","Duplicate","Accepted")))</x:f>
      </x:c>
      <x:c r="N26" s="66"/>
      <x:c r="O26" s="72" t="str">
        <x:f>IF(A26="","",IF(N26="","PENDING",IF(N26=M26,"PASS","REVIEW")))</x:f>
      </x:c>
    </x:row>
    <x:row r="27" ht="21" customHeight="1">
      <x:c r="A27" s="66"/>
      <x:c r="B27" s="66"/>
      <x:c r="C27" s="66"/>
      <x:c r="D27" s="66"/>
      <x:c r="E27" s="66"/>
      <x:c r="F27" s="67"/>
      <x:c r="G27" s="70" t="str">
        <x:f>IF(A27="","",PROPER(TRIM(B27)))</x:f>
      </x:c>
      <x:c r="H27" s="70" t="str">
        <x:f>IF(A27="","",PROPER(TRIM(C27)))</x:f>
      </x:c>
      <x:c r="I27" s="70" t="str">
        <x:f>IF(A27="","",LOWER(TRIM(D27)))</x:f>
      </x:c>
      <x:c r="J27" s="70" t="str">
        <x:f>IF(A27="","",UPPER(TRIM(E27)))</x:f>
      </x:c>
      <x:c r="K27" s="70" t="str">
        <x:f>IF(A27="","",IF(OR(G27="",H27="",I27="",J27=""),"INCOMPLETE","COMPLETE"))</x:f>
      </x:c>
      <x:c r="L27" s="70" t="str">
        <x:f>IF(A27="","",IF(I27="","NOT TESTED",IF(COUNTIF($I$7:I27,I27)&gt;1,"Duplicate","Unique")))</x:f>
      </x:c>
      <x:c r="M27" s="70" t="str">
        <x:f>IF(A27="","",IF(K27="INCOMPLETE","Hold",IF(L27="Duplicate","Duplicate","Accepted")))</x:f>
      </x:c>
      <x:c r="N27" s="66"/>
      <x:c r="O27" s="72" t="str">
        <x:f>IF(A27="","",IF(N27="","PENDING",IF(N27=M27,"PASS","REVIEW")))</x:f>
      </x:c>
    </x:row>
    <x:row r="28" ht="21" customHeight="1">
      <x:c r="A28" s="66"/>
      <x:c r="B28" s="66"/>
      <x:c r="C28" s="66"/>
      <x:c r="D28" s="66"/>
      <x:c r="E28" s="66"/>
      <x:c r="F28" s="67"/>
      <x:c r="G28" s="70" t="str">
        <x:f>IF(A28="","",PROPER(TRIM(B28)))</x:f>
      </x:c>
      <x:c r="H28" s="70" t="str">
        <x:f>IF(A28="","",PROPER(TRIM(C28)))</x:f>
      </x:c>
      <x:c r="I28" s="70" t="str">
        <x:f>IF(A28="","",LOWER(TRIM(D28)))</x:f>
      </x:c>
      <x:c r="J28" s="70" t="str">
        <x:f>IF(A28="","",UPPER(TRIM(E28)))</x:f>
      </x:c>
      <x:c r="K28" s="70" t="str">
        <x:f>IF(A28="","",IF(OR(G28="",H28="",I28="",J28=""),"INCOMPLETE","COMPLETE"))</x:f>
      </x:c>
      <x:c r="L28" s="70" t="str">
        <x:f>IF(A28="","",IF(I28="","NOT TESTED",IF(COUNTIF($I$7:I28,I28)&gt;1,"Duplicate","Unique")))</x:f>
      </x:c>
      <x:c r="M28" s="70" t="str">
        <x:f>IF(A28="","",IF(K28="INCOMPLETE","Hold",IF(L28="Duplicate","Duplicate","Accepted")))</x:f>
      </x:c>
      <x:c r="N28" s="66"/>
      <x:c r="O28" s="72" t="str">
        <x:f>IF(A28="","",IF(N28="","PENDING",IF(N28=M28,"PASS","REVIEW")))</x:f>
      </x:c>
    </x:row>
    <x:row r="29" ht="21" customHeight="1">
      <x:c r="A29" s="66"/>
      <x:c r="B29" s="66"/>
      <x:c r="C29" s="66"/>
      <x:c r="D29" s="66"/>
      <x:c r="E29" s="66"/>
      <x:c r="F29" s="67"/>
      <x:c r="G29" s="70" t="str">
        <x:f>IF(A29="","",PROPER(TRIM(B29)))</x:f>
      </x:c>
      <x:c r="H29" s="70" t="str">
        <x:f>IF(A29="","",PROPER(TRIM(C29)))</x:f>
      </x:c>
      <x:c r="I29" s="70" t="str">
        <x:f>IF(A29="","",LOWER(TRIM(D29)))</x:f>
      </x:c>
      <x:c r="J29" s="70" t="str">
        <x:f>IF(A29="","",UPPER(TRIM(E29)))</x:f>
      </x:c>
      <x:c r="K29" s="70" t="str">
        <x:f>IF(A29="","",IF(OR(G29="",H29="",I29="",J29=""),"INCOMPLETE","COMPLETE"))</x:f>
      </x:c>
      <x:c r="L29" s="70" t="str">
        <x:f>IF(A29="","",IF(I29="","NOT TESTED",IF(COUNTIF($I$7:I29,I29)&gt;1,"Duplicate","Unique")))</x:f>
      </x:c>
      <x:c r="M29" s="70" t="str">
        <x:f>IF(A29="","",IF(K29="INCOMPLETE","Hold",IF(L29="Duplicate","Duplicate","Accepted")))</x:f>
      </x:c>
      <x:c r="N29" s="66"/>
      <x:c r="O29" s="72" t="str">
        <x:f>IF(A29="","",IF(N29="","PENDING",IF(N29=M29,"PASS","REVIEW")))</x:f>
      </x:c>
    </x:row>
    <x:row r="30" ht="21" customHeight="1">
      <x:c r="A30" s="66"/>
      <x:c r="B30" s="66"/>
      <x:c r="C30" s="66"/>
      <x:c r="D30" s="66"/>
      <x:c r="E30" s="66"/>
      <x:c r="F30" s="67"/>
      <x:c r="G30" s="70" t="str">
        <x:f>IF(A30="","",PROPER(TRIM(B30)))</x:f>
      </x:c>
      <x:c r="H30" s="70" t="str">
        <x:f>IF(A30="","",PROPER(TRIM(C30)))</x:f>
      </x:c>
      <x:c r="I30" s="70" t="str">
        <x:f>IF(A30="","",LOWER(TRIM(D30)))</x:f>
      </x:c>
      <x:c r="J30" s="70" t="str">
        <x:f>IF(A30="","",UPPER(TRIM(E30)))</x:f>
      </x:c>
      <x:c r="K30" s="70" t="str">
        <x:f>IF(A30="","",IF(OR(G30="",H30="",I30="",J30=""),"INCOMPLETE","COMPLETE"))</x:f>
      </x:c>
      <x:c r="L30" s="70" t="str">
        <x:f>IF(A30="","",IF(I30="","NOT TESTED",IF(COUNTIF($I$7:I30,I30)&gt;1,"Duplicate","Unique")))</x:f>
      </x:c>
      <x:c r="M30" s="70" t="str">
        <x:f>IF(A30="","",IF(K30="INCOMPLETE","Hold",IF(L30="Duplicate","Duplicate","Accepted")))</x:f>
      </x:c>
      <x:c r="N30" s="66"/>
      <x:c r="O30" s="72" t="str">
        <x:f>IF(A30="","",IF(N30="","PENDING",IF(N30=M30,"PASS","REVIEW")))</x:f>
      </x:c>
    </x:row>
    <x:row r="31" ht="21" customHeight="1">
      <x:c r="A31" s="66"/>
      <x:c r="B31" s="66"/>
      <x:c r="C31" s="66"/>
      <x:c r="D31" s="66"/>
      <x:c r="E31" s="66"/>
      <x:c r="F31" s="67"/>
      <x:c r="G31" s="70" t="str">
        <x:f>IF(A31="","",PROPER(TRIM(B31)))</x:f>
      </x:c>
      <x:c r="H31" s="70" t="str">
        <x:f>IF(A31="","",PROPER(TRIM(C31)))</x:f>
      </x:c>
      <x:c r="I31" s="70" t="str">
        <x:f>IF(A31="","",LOWER(TRIM(D31)))</x:f>
      </x:c>
      <x:c r="J31" s="70" t="str">
        <x:f>IF(A31="","",UPPER(TRIM(E31)))</x:f>
      </x:c>
      <x:c r="K31" s="70" t="str">
        <x:f>IF(A31="","",IF(OR(G31="",H31="",I31="",J31=""),"INCOMPLETE","COMPLETE"))</x:f>
      </x:c>
      <x:c r="L31" s="70" t="str">
        <x:f>IF(A31="","",IF(I31="","NOT TESTED",IF(COUNTIF($I$7:I31,I31)&gt;1,"Duplicate","Unique")))</x:f>
      </x:c>
      <x:c r="M31" s="70" t="str">
        <x:f>IF(A31="","",IF(K31="INCOMPLETE","Hold",IF(L31="Duplicate","Duplicate","Accepted")))</x:f>
      </x:c>
      <x:c r="N31" s="66"/>
      <x:c r="O31" s="72" t="str">
        <x:f>IF(A31="","",IF(N31="","PENDING",IF(N31=M31,"PASS","REVIEW")))</x:f>
      </x:c>
    </x:row>
    <x:row r="32" ht="21" customHeight="1">
      <x:c r="A32" s="66"/>
      <x:c r="B32" s="66"/>
      <x:c r="C32" s="66"/>
      <x:c r="D32" s="66"/>
      <x:c r="E32" s="66"/>
      <x:c r="F32" s="67"/>
      <x:c r="G32" s="70" t="str">
        <x:f>IF(A32="","",PROPER(TRIM(B32)))</x:f>
      </x:c>
      <x:c r="H32" s="70" t="str">
        <x:f>IF(A32="","",PROPER(TRIM(C32)))</x:f>
      </x:c>
      <x:c r="I32" s="70" t="str">
        <x:f>IF(A32="","",LOWER(TRIM(D32)))</x:f>
      </x:c>
      <x:c r="J32" s="70" t="str">
        <x:f>IF(A32="","",UPPER(TRIM(E32)))</x:f>
      </x:c>
      <x:c r="K32" s="70" t="str">
        <x:f>IF(A32="","",IF(OR(G32="",H32="",I32="",J32=""),"INCOMPLETE","COMPLETE"))</x:f>
      </x:c>
      <x:c r="L32" s="70" t="str">
        <x:f>IF(A32="","",IF(I32="","NOT TESTED",IF(COUNTIF($I$7:I32,I32)&gt;1,"Duplicate","Unique")))</x:f>
      </x:c>
      <x:c r="M32" s="70" t="str">
        <x:f>IF(A32="","",IF(K32="INCOMPLETE","Hold",IF(L32="Duplicate","Duplicate","Accepted")))</x:f>
      </x:c>
      <x:c r="N32" s="66"/>
      <x:c r="O32" s="72" t="str">
        <x:f>IF(A32="","",IF(N32="","PENDING",IF(N32=M32,"PASS","REVIEW")))</x:f>
      </x:c>
    </x:row>
    <x:row r="33" ht="21" customHeight="1">
      <x:c r="A33" s="66"/>
      <x:c r="B33" s="66"/>
      <x:c r="C33" s="66"/>
      <x:c r="D33" s="66"/>
      <x:c r="E33" s="66"/>
      <x:c r="F33" s="67"/>
      <x:c r="G33" s="70" t="str">
        <x:f>IF(A33="","",PROPER(TRIM(B33)))</x:f>
      </x:c>
      <x:c r="H33" s="70" t="str">
        <x:f>IF(A33="","",PROPER(TRIM(C33)))</x:f>
      </x:c>
      <x:c r="I33" s="70" t="str">
        <x:f>IF(A33="","",LOWER(TRIM(D33)))</x:f>
      </x:c>
      <x:c r="J33" s="70" t="str">
        <x:f>IF(A33="","",UPPER(TRIM(E33)))</x:f>
      </x:c>
      <x:c r="K33" s="70" t="str">
        <x:f>IF(A33="","",IF(OR(G33="",H33="",I33="",J33=""),"INCOMPLETE","COMPLETE"))</x:f>
      </x:c>
      <x:c r="L33" s="70" t="str">
        <x:f>IF(A33="","",IF(I33="","NOT TESTED",IF(COUNTIF($I$7:I33,I33)&gt;1,"Duplicate","Unique")))</x:f>
      </x:c>
      <x:c r="M33" s="70" t="str">
        <x:f>IF(A33="","",IF(K33="INCOMPLETE","Hold",IF(L33="Duplicate","Duplicate","Accepted")))</x:f>
      </x:c>
      <x:c r="N33" s="66"/>
      <x:c r="O33" s="72" t="str">
        <x:f>IF(A33="","",IF(N33="","PENDING",IF(N33=M33,"PASS","REVIEW")))</x:f>
      </x:c>
    </x:row>
    <x:row r="34" ht="21" customHeight="1">
      <x:c r="A34" s="66"/>
      <x:c r="B34" s="66"/>
      <x:c r="C34" s="66"/>
      <x:c r="D34" s="66"/>
      <x:c r="E34" s="66"/>
      <x:c r="F34" s="67"/>
      <x:c r="G34" s="70" t="str">
        <x:f>IF(A34="","",PROPER(TRIM(B34)))</x:f>
      </x:c>
      <x:c r="H34" s="70" t="str">
        <x:f>IF(A34="","",PROPER(TRIM(C34)))</x:f>
      </x:c>
      <x:c r="I34" s="70" t="str">
        <x:f>IF(A34="","",LOWER(TRIM(D34)))</x:f>
      </x:c>
      <x:c r="J34" s="70" t="str">
        <x:f>IF(A34="","",UPPER(TRIM(E34)))</x:f>
      </x:c>
      <x:c r="K34" s="70" t="str">
        <x:f>IF(A34="","",IF(OR(G34="",H34="",I34="",J34=""),"INCOMPLETE","COMPLETE"))</x:f>
      </x:c>
      <x:c r="L34" s="70" t="str">
        <x:f>IF(A34="","",IF(I34="","NOT TESTED",IF(COUNTIF($I$7:I34,I34)&gt;1,"Duplicate","Unique")))</x:f>
      </x:c>
      <x:c r="M34" s="70" t="str">
        <x:f>IF(A34="","",IF(K34="INCOMPLETE","Hold",IF(L34="Duplicate","Duplicate","Accepted")))</x:f>
      </x:c>
      <x:c r="N34" s="66"/>
      <x:c r="O34" s="72" t="str">
        <x:f>IF(A34="","",IF(N34="","PENDING",IF(N34=M34,"PASS","REVIEW")))</x:f>
      </x:c>
    </x:row>
    <x:row r="35" ht="21" customHeight="1">
      <x:c r="A35" s="66"/>
      <x:c r="B35" s="66"/>
      <x:c r="C35" s="66"/>
      <x:c r="D35" s="66"/>
      <x:c r="E35" s="66"/>
      <x:c r="F35" s="67"/>
      <x:c r="G35" s="70" t="str">
        <x:f>IF(A35="","",PROPER(TRIM(B35)))</x:f>
      </x:c>
      <x:c r="H35" s="70" t="str">
        <x:f>IF(A35="","",PROPER(TRIM(C35)))</x:f>
      </x:c>
      <x:c r="I35" s="70" t="str">
        <x:f>IF(A35="","",LOWER(TRIM(D35)))</x:f>
      </x:c>
      <x:c r="J35" s="70" t="str">
        <x:f>IF(A35="","",UPPER(TRIM(E35)))</x:f>
      </x:c>
      <x:c r="K35" s="70" t="str">
        <x:f>IF(A35="","",IF(OR(G35="",H35="",I35="",J35=""),"INCOMPLETE","COMPLETE"))</x:f>
      </x:c>
      <x:c r="L35" s="70" t="str">
        <x:f>IF(A35="","",IF(I35="","NOT TESTED",IF(COUNTIF($I$7:I35,I35)&gt;1,"Duplicate","Unique")))</x:f>
      </x:c>
      <x:c r="M35" s="70" t="str">
        <x:f>IF(A35="","",IF(K35="INCOMPLETE","Hold",IF(L35="Duplicate","Duplicate","Accepted")))</x:f>
      </x:c>
      <x:c r="N35" s="66"/>
      <x:c r="O35" s="72" t="str">
        <x:f>IF(A35="","",IF(N35="","PENDING",IF(N35=M35,"PASS","REVIEW")))</x:f>
      </x:c>
    </x:row>
    <x:row r="36" ht="21" customHeight="1">
      <x:c r="A36" s="66"/>
      <x:c r="B36" s="66"/>
      <x:c r="C36" s="66"/>
      <x:c r="D36" s="66"/>
      <x:c r="E36" s="66"/>
      <x:c r="F36" s="67"/>
      <x:c r="G36" s="70" t="str">
        <x:f>IF(A36="","",PROPER(TRIM(B36)))</x:f>
      </x:c>
      <x:c r="H36" s="70" t="str">
        <x:f>IF(A36="","",PROPER(TRIM(C36)))</x:f>
      </x:c>
      <x:c r="I36" s="70" t="str">
        <x:f>IF(A36="","",LOWER(TRIM(D36)))</x:f>
      </x:c>
      <x:c r="J36" s="70" t="str">
        <x:f>IF(A36="","",UPPER(TRIM(E36)))</x:f>
      </x:c>
      <x:c r="K36" s="70" t="str">
        <x:f>IF(A36="","",IF(OR(G36="",H36="",I36="",J36=""),"INCOMPLETE","COMPLETE"))</x:f>
      </x:c>
      <x:c r="L36" s="70" t="str">
        <x:f>IF(A36="","",IF(I36="","NOT TESTED",IF(COUNTIF($I$7:I36,I36)&gt;1,"Duplicate","Unique")))</x:f>
      </x:c>
      <x:c r="M36" s="70" t="str">
        <x:f>IF(A36="","",IF(K36="INCOMPLETE","Hold",IF(L36="Duplicate","Duplicate","Accepted")))</x:f>
      </x:c>
      <x:c r="N36" s="66"/>
      <x:c r="O36" s="72" t="str">
        <x:f>IF(A36="","",IF(N36="","PENDING",IF(N36=M36,"PASS","REVIEW")))</x:f>
      </x:c>
    </x:row>
  </x:sheetData>
  <x:mergeCells>
    <x:mergeCell ref="A1:O2"/>
    <x:mergeCell ref="A3:O3"/>
    <x:mergeCell ref="A5:F5"/>
    <x:mergeCell ref="G5:M5"/>
    <x:mergeCell ref="N5:O5"/>
  </x:mergeCells>
  <x:conditionalFormatting sqref="O7:O36">
    <x:cfRule type="expression" dxfId="0" priority="1">
      <x:formula>$O7="PASS"</x:formula>
    </x:cfRule>
    <x:cfRule type="expression" dxfId="1" priority="2">
      <x:formula>$O7="MATCH"</x:formula>
    </x:cfRule>
    <x:cfRule type="expression" dxfId="2" priority="3">
      <x:formula>$O7="REVIEW"</x:formula>
    </x:cfRule>
    <x:cfRule type="expression" dxfId="3" priority="4">
      <x:formula>$O7="PENDING"</x:formula>
    </x:cfRule>
  </x:conditionalFormatting>
  <x:dataValidations count="2">
    <x:dataValidation type="list" sqref="N7:N36">
      <x:formula1>"Accepted,Duplicate,Hold,Rejected"</x:formula1>
    </x:dataValidation>
    <x:dataValidation type="list" sqref="E7:E36">
      <x:formula1>"NC,SC,VA,GA,TX,TN,FL,MD,NY,nc,sc,va,ga,tx,tn,fl,md,ny"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35" hidden="0" customWidth="1"/>
    <x:col min="4" max="4" width="25" hidden="0" customWidth="1"/>
    <x:col min="5" max="5" width="40" hidden="0" customWidth="1"/>
    <x:col min="6" max="6" width="13" hidden="0" customWidth="1"/>
    <x:col min="7" max="7" width="21" hidden="0" customWidth="1"/>
    <x:col min="8" max="8" width="16" hidden="0" customWidth="1"/>
    <x:col min="9" max="9" width="16" hidden="0" customWidth="1"/>
  </x:cols>
  <x:sheetData>
    <x:row r="1" ht="25" customHeight="1">
      <x:c r="A1" s="4" t="str">
        <x:v>APPROVED MASTER  |  VERIFIED RECORDS</x:v>
      </x:c>
      <x:c r="B1" s="4"/>
      <x:c r="C1" s="4"/>
      <x:c r="D1" s="4"/>
      <x:c r="E1" s="4"/>
      <x:c r="F1" s="4"/>
      <x:c r="G1" s="4"/>
      <x:c r="H1" s="4"/>
      <x:c r="I1" s="4"/>
    </x:row>
    <x:row r="2" ht="25" customHeight="1">
      <x:c r="A2" s="4"/>
      <x:c r="B2" s="4"/>
      <x:c r="C2" s="4"/>
      <x:c r="D2" s="4"/>
      <x:c r="E2" s="4"/>
      <x:c r="F2" s="4"/>
      <x:c r="G2" s="4"/>
      <x:c r="H2" s="4"/>
      <x:c r="I2" s="4"/>
    </x:row>
    <x:row r="3" ht="27" customHeight="1">
      <x:c r="A3" s="10" t="str">
        <x:v>Use after reviewer approval • nine approved records from the original simulated case</x:v>
      </x:c>
      <x:c r="B3" s="10"/>
      <x:c r="C3" s="10"/>
      <x:c r="D3" s="10"/>
      <x:c r="E3" s="10"/>
      <x:c r="F3" s="10"/>
      <x:c r="G3" s="10"/>
      <x:c r="H3" s="10"/>
      <x:c r="I3" s="10"/>
    </x:row>
    <x:row r="6" ht="36" customHeight="1">
      <x:c r="A6" s="55" t="str">
        <x:v>Master ID</x:v>
      </x:c>
      <x:c r="B6" s="55" t="str">
        <x:v>Source ID</x:v>
      </x:c>
      <x:c r="C6" s="55" t="str">
        <x:v>Legal business name</x:v>
      </x:c>
      <x:c r="D6" s="55" t="str">
        <x:v>Primary contact</x:v>
      </x:c>
      <x:c r="E6" s="55" t="str">
        <x:v>Verified email</x:v>
      </x:c>
      <x:c r="F6" s="55" t="str">
        <x:v>State</x:v>
      </x:c>
      <x:c r="G6" s="55" t="str">
        <x:v>Enrollment date</x:v>
      </x:c>
      <x:c r="H6" s="55" t="str">
        <x:v>Status</x:v>
      </x:c>
      <x:c r="I6" s="55" t="str">
        <x:v>Master QA</x:v>
      </x:c>
    </x:row>
    <x:row r="7" ht="21" customHeight="1">
      <x:c r="A7" s="74" t="str">
        <x:v>C-001</x:v>
      </x:c>
      <x:c r="B7" s="74" t="str">
        <x:v>001</x:v>
      </x:c>
      <x:c r="C7" s="74" t="str">
        <x:v>Northway Office Supplies</x:v>
      </x:c>
      <x:c r="D7" s="74" t="str">
        <x:v>Mira Kent</x:v>
      </x:c>
      <x:c r="E7" s="74" t="str">
        <x:v>mira.kent@northway.example</x:v>
      </x:c>
      <x:c r="F7" s="74" t="str">
        <x:v>NC</x:v>
      </x:c>
      <x:c r="G7" s="75" t="n">
        <x:v>46314</x:v>
      </x:c>
      <x:c r="H7" s="74" t="str">
        <x:v>Accepted</x:v>
      </x:c>
      <x:c r="I7" s="78" t="str">
        <x:f>IF(A7="","",IF(OR(C7="",D7="",E7="",F7=""),"REVIEW",IF(COUNTIF($E$7:E7,E7)&gt;1,"REVIEW","PASS")))</x:f>
        <x:v>PASS</x:v>
      </x:c>
    </x:row>
    <x:row r="8" ht="21" customHeight="1">
      <x:c r="A8" s="74" t="str">
        <x:v>C-002</x:v>
      </x:c>
      <x:c r="B8" s="74" t="str">
        <x:v>002</x:v>
      </x:c>
      <x:c r="C8" s="74" t="str">
        <x:v>Cedar Pine Logistics</x:v>
      </x:c>
      <x:c r="D8" s="74" t="str">
        <x:v>Eli Porter</x:v>
      </x:c>
      <x:c r="E8" s="74" t="str">
        <x:v>eli.porter@cedarpine.example</x:v>
      </x:c>
      <x:c r="F8" s="74" t="str">
        <x:v>SC</x:v>
      </x:c>
      <x:c r="G8" s="75" t="n">
        <x:v>46315</x:v>
      </x:c>
      <x:c r="H8" s="74" t="str">
        <x:v>Accepted</x:v>
      </x:c>
      <x:c r="I8" s="78" t="str">
        <x:f>IF(A8="","",IF(OR(C8="",D8="",E8="",F8=""),"REVIEW",IF(COUNTIF($E$7:E8,E8)&gt;1,"REVIEW","PASS")))</x:f>
        <x:v>PASS</x:v>
      </x:c>
    </x:row>
    <x:row r="9" ht="21" customHeight="1">
      <x:c r="A9" s="74" t="str">
        <x:v>C-003</x:v>
      </x:c>
      <x:c r="B9" s="74" t="str">
        <x:v>004</x:v>
      </x:c>
      <x:c r="C9" s="74" t="str">
        <x:v>Laurel Brook Studio</x:v>
      </x:c>
      <x:c r="D9" s="74" t="str">
        <x:v>Dana Ross</x:v>
      </x:c>
      <x:c r="E9" s="74" t="str">
        <x:v>dana.ross@laurelbrook.example</x:v>
      </x:c>
      <x:c r="F9" s="74" t="str">
        <x:v>VA</x:v>
      </x:c>
      <x:c r="G9" s="75" t="n">
        <x:v>46316</x:v>
      </x:c>
      <x:c r="H9" s="74" t="str">
        <x:v>Accepted</x:v>
      </x:c>
      <x:c r="I9" s="78" t="str">
        <x:f>IF(A9="","",IF(OR(C9="",D9="",E9="",F9=""),"REVIEW",IF(COUNTIF($E$7:E9,E9)&gt;1,"REVIEW","PASS")))</x:f>
        <x:v>PASS</x:v>
      </x:c>
    </x:row>
    <x:row r="10" ht="21" customHeight="1">
      <x:c r="A10" s="74" t="str">
        <x:v>C-004</x:v>
      </x:c>
      <x:c r="B10" s="74" t="str">
        <x:v>005</x:v>
      </x:c>
      <x:c r="C10" s="74" t="str">
        <x:v>Harbor North Dental</x:v>
      </x:c>
      <x:c r="D10" s="74" t="str">
        <x:v>Rina Sol</x:v>
      </x:c>
      <x:c r="E10" s="74" t="str">
        <x:v>rina.sol@harbornorth.example</x:v>
      </x:c>
      <x:c r="F10" s="74" t="str">
        <x:v>NC</x:v>
      </x:c>
      <x:c r="G10" s="75" t="n">
        <x:v>46316</x:v>
      </x:c>
      <x:c r="H10" s="74" t="str">
        <x:v>Accepted</x:v>
      </x:c>
      <x:c r="I10" s="78" t="str">
        <x:f>IF(A10="","",IF(OR(C10="",D10="",E10="",F10=""),"REVIEW",IF(COUNTIF($E$7:E10,E10)&gt;1,"REVIEW","PASS")))</x:f>
        <x:v>PASS</x:v>
      </x:c>
    </x:row>
    <x:row r="11" ht="21" customHeight="1">
      <x:c r="A11" s="74" t="str">
        <x:v>C-005</x:v>
      </x:c>
      <x:c r="B11" s="74" t="str">
        <x:v>006</x:v>
      </x:c>
      <x:c r="C11" s="74" t="str">
        <x:v>W. Glen Holdings</x:v>
      </x:c>
      <x:c r="D11" s="74" t="str">
        <x:v>Jules Reed</x:v>
      </x:c>
      <x:c r="E11" s="74" t="str">
        <x:v>jules.reed@westglen.example</x:v>
      </x:c>
      <x:c r="F11" s="74" t="str">
        <x:v>GA</x:v>
      </x:c>
      <x:c r="G11" s="75" t="n">
        <x:v>46317</x:v>
      </x:c>
      <x:c r="H11" s="74" t="str">
        <x:v>Accepted</x:v>
      </x:c>
      <x:c r="I11" s="78" t="str">
        <x:f>IF(A11="","",IF(OR(C11="",D11="",E11="",F11=""),"REVIEW",IF(COUNTIF($E$7:E11,E11)&gt;1,"REVIEW","PASS")))</x:f>
        <x:v>PASS</x:v>
      </x:c>
    </x:row>
    <x:row r="12" ht="21" customHeight="1">
      <x:c r="A12" s="74" t="str">
        <x:v>C-006</x:v>
      </x:c>
      <x:c r="B12" s="74" t="str">
        <x:v>008</x:v>
      </x:c>
      <x:c r="C12" s="74" t="str">
        <x:v>Aster Labs</x:v>
      </x:c>
      <x:c r="D12" s="74" t="str">
        <x:v>Noel Park</x:v>
      </x:c>
      <x:c r="E12" s="74" t="str">
        <x:v>noel.park@asterlabs.example</x:v>
      </x:c>
      <x:c r="F12" s="74" t="str">
        <x:v>NC</x:v>
      </x:c>
      <x:c r="G12" s="75" t="n">
        <x:v>46318</x:v>
      </x:c>
      <x:c r="H12" s="74" t="str">
        <x:v>Accepted</x:v>
      </x:c>
      <x:c r="I12" s="78" t="str">
        <x:f>IF(A12="","",IF(OR(C12="",D12="",E12="",F12=""),"REVIEW",IF(COUNTIF($E$7:E12,E12)&gt;1,"REVIEW","PASS")))</x:f>
        <x:v>PASS</x:v>
      </x:c>
    </x:row>
    <x:row r="13" ht="21" customHeight="1">
      <x:c r="A13" s="74" t="str">
        <x:v>C-007</x:v>
      </x:c>
      <x:c r="B13" s="74" t="str">
        <x:v>009</x:v>
      </x:c>
      <x:c r="C13" s="74" t="str">
        <x:v>Marble Finch LLC</x:v>
      </x:c>
      <x:c r="D13" s="74" t="str">
        <x:v>Ada Ford</x:v>
      </x:c>
      <x:c r="E13" s="74" t="str">
        <x:v>ada.ford@marblefinch.example</x:v>
      </x:c>
      <x:c r="F13" s="74" t="str">
        <x:v>NC</x:v>
      </x:c>
      <x:c r="G13" s="75" t="n">
        <x:v>46318</x:v>
      </x:c>
      <x:c r="H13" s="74" t="str">
        <x:v>Accepted</x:v>
      </x:c>
      <x:c r="I13" s="78" t="str">
        <x:f>IF(A13="","",IF(OR(C13="",D13="",E13="",F13=""),"REVIEW",IF(COUNTIF($E$7:E13,E13)&gt;1,"REVIEW","PASS")))</x:f>
        <x:v>PASS</x:v>
      </x:c>
    </x:row>
    <x:row r="14" ht="21" customHeight="1">
      <x:c r="A14" s="74" t="str">
        <x:v>C-008</x:v>
      </x:c>
      <x:c r="B14" s="74" t="str">
        <x:v>011</x:v>
      </x:c>
      <x:c r="C14" s="74" t="str">
        <x:v>Pine Lake Co</x:v>
      </x:c>
      <x:c r="D14" s="74" t="str">
        <x:v>Beck Lee</x:v>
      </x:c>
      <x:c r="E14" s="74" t="str">
        <x:v>beck.lee@pinelake.example</x:v>
      </x:c>
      <x:c r="F14" s="74" t="str">
        <x:v>TX</x:v>
      </x:c>
      <x:c r="G14" s="75" t="n">
        <x:v>46320</x:v>
      </x:c>
      <x:c r="H14" s="74" t="str">
        <x:v>Accepted</x:v>
      </x:c>
      <x:c r="I14" s="78" t="str">
        <x:f>IF(A14="","",IF(OR(C14="",D14="",E14="",F14=""),"REVIEW",IF(COUNTIF($E$7:E14,E14)&gt;1,"REVIEW","PASS")))</x:f>
        <x:v>PASS</x:v>
      </x:c>
    </x:row>
    <x:row r="15" ht="21" customHeight="1">
      <x:c r="A15" s="74" t="str">
        <x:v>C-009</x:v>
      </x:c>
      <x:c r="B15" s="74" t="str">
        <x:v>012</x:v>
      </x:c>
      <x:c r="C15" s="74" t="str">
        <x:v>Morningside Solar</x:v>
      </x:c>
      <x:c r="D15" s="74" t="str">
        <x:v>Arlo Vega</x:v>
      </x:c>
      <x:c r="E15" s="74" t="str">
        <x:v>arlo.vega@morningside.example</x:v>
      </x:c>
      <x:c r="F15" s="74" t="str">
        <x:v>NC</x:v>
      </x:c>
      <x:c r="G15" s="75" t="n">
        <x:v>46321</x:v>
      </x:c>
      <x:c r="H15" s="74" t="str">
        <x:v>Accepted</x:v>
      </x:c>
      <x:c r="I15" s="78" t="str">
        <x:f>IF(A15="","",IF(OR(C15="",D15="",E15="",F15=""),"REVIEW",IF(COUNTIF($E$7:E15,E15)&gt;1,"REVIEW","PASS")))</x:f>
        <x:v>PASS</x:v>
      </x:c>
    </x:row>
    <x:row r="16" ht="21" customHeight="1">
      <x:c r="A16" s="74"/>
      <x:c r="B16" s="74"/>
      <x:c r="C16" s="74"/>
      <x:c r="D16" s="74"/>
      <x:c r="E16" s="74"/>
      <x:c r="F16" s="74"/>
      <x:c r="G16" s="75"/>
      <x:c r="H16" s="74"/>
      <x:c r="I16" s="78" t="str">
        <x:f>IF(A16="","",IF(OR(C16="",D16="",E16="",F16=""),"REVIEW",IF(COUNTIF($E$7:E16,E16)&gt;1,"REVIEW","PASS")))</x:f>
      </x:c>
    </x:row>
    <x:row r="17" ht="21" customHeight="1">
      <x:c r="A17" s="74"/>
      <x:c r="B17" s="74"/>
      <x:c r="C17" s="74"/>
      <x:c r="D17" s="74"/>
      <x:c r="E17" s="74"/>
      <x:c r="F17" s="74"/>
      <x:c r="G17" s="75"/>
      <x:c r="H17" s="74"/>
      <x:c r="I17" s="78" t="str">
        <x:f>IF(A17="","",IF(OR(C17="",D17="",E17="",F17=""),"REVIEW",IF(COUNTIF($E$7:E17,E17)&gt;1,"REVIEW","PASS")))</x:f>
      </x:c>
    </x:row>
    <x:row r="18" ht="21" customHeight="1">
      <x:c r="A18" s="74"/>
      <x:c r="B18" s="74"/>
      <x:c r="C18" s="74"/>
      <x:c r="D18" s="74"/>
      <x:c r="E18" s="74"/>
      <x:c r="F18" s="74"/>
      <x:c r="G18" s="75"/>
      <x:c r="H18" s="74"/>
      <x:c r="I18" s="78" t="str">
        <x:f>IF(A18="","",IF(OR(C18="",D18="",E18="",F18=""),"REVIEW",IF(COUNTIF($E$7:E18,E18)&gt;1,"REVIEW","PASS")))</x:f>
      </x:c>
    </x:row>
    <x:row r="19" ht="21" customHeight="1">
      <x:c r="A19" s="74"/>
      <x:c r="B19" s="74"/>
      <x:c r="C19" s="74"/>
      <x:c r="D19" s="74"/>
      <x:c r="E19" s="74"/>
      <x:c r="F19" s="74"/>
      <x:c r="G19" s="75"/>
      <x:c r="H19" s="74"/>
      <x:c r="I19" s="78" t="str">
        <x:f>IF(A19="","",IF(OR(C19="",D19="",E19="",F19=""),"REVIEW",IF(COUNTIF($E$7:E19,E19)&gt;1,"REVIEW","PASS")))</x:f>
      </x:c>
    </x:row>
    <x:row r="20" ht="21" customHeight="1">
      <x:c r="A20" s="74"/>
      <x:c r="B20" s="74"/>
      <x:c r="C20" s="74"/>
      <x:c r="D20" s="74"/>
      <x:c r="E20" s="74"/>
      <x:c r="F20" s="74"/>
      <x:c r="G20" s="75"/>
      <x:c r="H20" s="74"/>
      <x:c r="I20" s="78" t="str">
        <x:f>IF(A20="","",IF(OR(C20="",D20="",E20="",F20=""),"REVIEW",IF(COUNTIF($E$7:E20,E20)&gt;1,"REVIEW","PASS")))</x:f>
      </x:c>
    </x:row>
    <x:row r="21" ht="21" customHeight="1">
      <x:c r="A21" s="74"/>
      <x:c r="B21" s="74"/>
      <x:c r="C21" s="74"/>
      <x:c r="D21" s="74"/>
      <x:c r="E21" s="74"/>
      <x:c r="F21" s="74"/>
      <x:c r="G21" s="75"/>
      <x:c r="H21" s="74"/>
      <x:c r="I21" s="78" t="str">
        <x:f>IF(A21="","",IF(OR(C21="",D21="",E21="",F21=""),"REVIEW",IF(COUNTIF($E$7:E21,E21)&gt;1,"REVIEW","PASS")))</x:f>
      </x:c>
    </x:row>
    <x:row r="22" ht="21" customHeight="1">
      <x:c r="A22" s="74"/>
      <x:c r="B22" s="74"/>
      <x:c r="C22" s="74"/>
      <x:c r="D22" s="74"/>
      <x:c r="E22" s="74"/>
      <x:c r="F22" s="74"/>
      <x:c r="G22" s="75"/>
      <x:c r="H22" s="74"/>
      <x:c r="I22" s="78" t="str">
        <x:f>IF(A22="","",IF(OR(C22="",D22="",E22="",F22=""),"REVIEW",IF(COUNTIF($E$7:E22,E22)&gt;1,"REVIEW","PASS")))</x:f>
      </x:c>
    </x:row>
    <x:row r="23" ht="21" customHeight="1">
      <x:c r="A23" s="74"/>
      <x:c r="B23" s="74"/>
      <x:c r="C23" s="74"/>
      <x:c r="D23" s="74"/>
      <x:c r="E23" s="74"/>
      <x:c r="F23" s="74"/>
      <x:c r="G23" s="75"/>
      <x:c r="H23" s="74"/>
      <x:c r="I23" s="78" t="str">
        <x:f>IF(A23="","",IF(OR(C23="",D23="",E23="",F23=""),"REVIEW",IF(COUNTIF($E$7:E23,E23)&gt;1,"REVIEW","PASS")))</x:f>
      </x:c>
    </x:row>
    <x:row r="24" ht="21" customHeight="1">
      <x:c r="A24" s="74"/>
      <x:c r="B24" s="74"/>
      <x:c r="C24" s="74"/>
      <x:c r="D24" s="74"/>
      <x:c r="E24" s="74"/>
      <x:c r="F24" s="74"/>
      <x:c r="G24" s="75"/>
      <x:c r="H24" s="74"/>
      <x:c r="I24" s="78" t="str">
        <x:f>IF(A24="","",IF(OR(C24="",D24="",E24="",F24=""),"REVIEW",IF(COUNTIF($E$7:E24,E24)&gt;1,"REVIEW","PASS")))</x:f>
      </x:c>
    </x:row>
    <x:row r="25" ht="21" customHeight="1">
      <x:c r="A25" s="74"/>
      <x:c r="B25" s="74"/>
      <x:c r="C25" s="74"/>
      <x:c r="D25" s="74"/>
      <x:c r="E25" s="74"/>
      <x:c r="F25" s="74"/>
      <x:c r="G25" s="75"/>
      <x:c r="H25" s="74"/>
      <x:c r="I25" s="78" t="str">
        <x:f>IF(A25="","",IF(OR(C25="",D25="",E25="",F25=""),"REVIEW",IF(COUNTIF($E$7:E25,E25)&gt;1,"REVIEW","PASS")))</x:f>
      </x:c>
    </x:row>
    <x:row r="26" ht="21" customHeight="1">
      <x:c r="A26" s="74"/>
      <x:c r="B26" s="74"/>
      <x:c r="C26" s="74"/>
      <x:c r="D26" s="74"/>
      <x:c r="E26" s="74"/>
      <x:c r="F26" s="74"/>
      <x:c r="G26" s="75"/>
      <x:c r="H26" s="74"/>
      <x:c r="I26" s="78" t="str">
        <x:f>IF(A26="","",IF(OR(C26="",D26="",E26="",F26=""),"REVIEW",IF(COUNTIF($E$7:E26,E26)&gt;1,"REVIEW","PASS")))</x:f>
      </x:c>
    </x:row>
    <x:row r="27" ht="21" customHeight="1">
      <x:c r="A27" s="74"/>
      <x:c r="B27" s="74"/>
      <x:c r="C27" s="74"/>
      <x:c r="D27" s="74"/>
      <x:c r="E27" s="74"/>
      <x:c r="F27" s="74"/>
      <x:c r="G27" s="75"/>
      <x:c r="H27" s="74"/>
      <x:c r="I27" s="78" t="str">
        <x:f>IF(A27="","",IF(OR(C27="",D27="",E27="",F27=""),"REVIEW",IF(COUNTIF($E$7:E27,E27)&gt;1,"REVIEW","PASS")))</x:f>
      </x:c>
    </x:row>
    <x:row r="28" ht="21" customHeight="1">
      <x:c r="A28" s="74"/>
      <x:c r="B28" s="74"/>
      <x:c r="C28" s="74"/>
      <x:c r="D28" s="74"/>
      <x:c r="E28" s="74"/>
      <x:c r="F28" s="74"/>
      <x:c r="G28" s="75"/>
      <x:c r="H28" s="74"/>
      <x:c r="I28" s="78" t="str">
        <x:f>IF(A28="","",IF(OR(C28="",D28="",E28="",F28=""),"REVIEW",IF(COUNTIF($E$7:E28,E28)&gt;1,"REVIEW","PASS")))</x:f>
      </x:c>
    </x:row>
    <x:row r="29" ht="21" customHeight="1">
      <x:c r="A29" s="74"/>
      <x:c r="B29" s="74"/>
      <x:c r="C29" s="74"/>
      <x:c r="D29" s="74"/>
      <x:c r="E29" s="74"/>
      <x:c r="F29" s="74"/>
      <x:c r="G29" s="75"/>
      <x:c r="H29" s="74"/>
      <x:c r="I29" s="78" t="str">
        <x:f>IF(A29="","",IF(OR(C29="",D29="",E29="",F29=""),"REVIEW",IF(COUNTIF($E$7:E29,E29)&gt;1,"REVIEW","PASS")))</x:f>
      </x:c>
    </x:row>
    <x:row r="30" ht="21" customHeight="1">
      <x:c r="A30" s="74"/>
      <x:c r="B30" s="74"/>
      <x:c r="C30" s="74"/>
      <x:c r="D30" s="74"/>
      <x:c r="E30" s="74"/>
      <x:c r="F30" s="74"/>
      <x:c r="G30" s="75"/>
      <x:c r="H30" s="74"/>
      <x:c r="I30" s="78" t="str">
        <x:f>IF(A30="","",IF(OR(C30="",D30="",E30="",F30=""),"REVIEW",IF(COUNTIF($E$7:E30,E30)&gt;1,"REVIEW","PASS")))</x:f>
      </x:c>
    </x:row>
  </x:sheetData>
  <x:mergeCells>
    <x:mergeCell ref="A1:I2"/>
    <x:mergeCell ref="A3:I3"/>
  </x:mergeCells>
  <x:conditionalFormatting sqref="I7:I30">
    <x:cfRule type="expression" dxfId="4" priority="1">
      <x:formula>$I7="PASS"</x:formula>
    </x:cfRule>
    <x:cfRule type="expression" dxfId="5" priority="2">
      <x:formula>$I7="MATCH"</x:formula>
    </x:cfRule>
    <x:cfRule type="expression" dxfId="6" priority="3">
      <x:formula>$I7="REVIEW"</x:formula>
    </x:cfRule>
    <x:cfRule type="expression" dxfId="7" priority="4">
      <x:formula>$I7="PENDING"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7" hidden="0" customWidth="1"/>
    <x:col min="2" max="2" width="19" hidden="0" customWidth="1"/>
    <x:col min="3" max="3" width="20" hidden="0" customWidth="1"/>
    <x:col min="4" max="4" width="42" hidden="0" customWidth="1"/>
    <x:col min="5" max="5" width="58" hidden="0" customWidth="1"/>
    <x:col min="6" max="6" width="24" hidden="0" customWidth="1"/>
    <x:col min="7" max="7" width="30" hidden="0" customWidth="1"/>
  </x:cols>
  <x:sheetData>
    <x:row r="1" ht="25" customHeight="1">
      <x:c r="A1" s="4" t="str">
        <x:v>EXCEPTIONS  |  REVIEW + AUDIT TRAIL</x:v>
      </x:c>
      <x:c r="B1" s="4"/>
      <x:c r="C1" s="4"/>
      <x:c r="D1" s="4"/>
      <x:c r="E1" s="4"/>
      <x:c r="F1" s="4"/>
      <x:c r="G1" s="4"/>
    </x:row>
    <x:row r="2" ht="25" customHeight="1">
      <x:c r="A2" s="4"/>
      <x:c r="B2" s="4"/>
      <x:c r="C2" s="4"/>
      <x:c r="D2" s="4"/>
      <x:c r="E2" s="4"/>
      <x:c r="F2" s="4"/>
      <x:c r="G2" s="4"/>
    </x:row>
    <x:row r="3" ht="27" customHeight="1">
      <x:c r="A3" s="10" t="str">
        <x:v>Never silently overwrite missing information or discard plausible identity matches</x:v>
      </x:c>
      <x:c r="B3" s="10"/>
      <x:c r="C3" s="10"/>
      <x:c r="D3" s="10"/>
      <x:c r="E3" s="10"/>
      <x:c r="F3" s="10"/>
      <x:c r="G3" s="10"/>
    </x:row>
    <x:row r="6" ht="36" customHeight="1">
      <x:c r="A6" s="55" t="str">
        <x:v>Source ID</x:v>
      </x:c>
      <x:c r="B6" s="55" t="str">
        <x:v>Disposition</x:v>
      </x:c>
      <x:c r="C6" s="55" t="str">
        <x:v>Related source</x:v>
      </x:c>
      <x:c r="D6" s="55" t="str">
        <x:v>Assigned action</x:v>
      </x:c>
      <x:c r="E6" s="55" t="str">
        <x:v>Evidence summary</x:v>
      </x:c>
      <x:c r="F6" s="55" t="str">
        <x:v>Audit ID</x:v>
      </x:c>
      <x:c r="G6" s="55" t="str">
        <x:v>Case status</x:v>
      </x:c>
    </x:row>
    <x:row r="7" ht="31" customHeight="1">
      <x:c r="A7" s="61" t="str">
        <x:v>SRC-003</x:v>
      </x:c>
      <x:c r="B7" s="61" t="str">
        <x:v>Duplicate</x:v>
      </x:c>
      <x:c r="C7" s="61" t="str">
        <x:v>SRC-001</x:v>
      </x:c>
      <x:c r="D7" s="82" t="str">
        <x:v>Do not create second master</x:v>
      </x:c>
      <x:c r="E7" s="82" t="str">
        <x:v>Email matched; legal-name variant reviewed</x:v>
      </x:c>
      <x:c r="F7" s="61" t="str">
        <x:v>QA-2026-001</x:v>
      </x:c>
      <x:c r="G7" s="61" t="str">
        <x:v>Closed — excluded</x:v>
      </x:c>
    </x:row>
    <x:row r="8" ht="31" customHeight="1">
      <x:c r="A8" s="61" t="str">
        <x:v>SRC-007</x:v>
      </x:c>
      <x:c r="B8" s="61" t="str">
        <x:v>Duplicate</x:v>
      </x:c>
      <x:c r="C8" s="61" t="str">
        <x:v>SRC-006</x:v>
      </x:c>
      <x:c r="D8" s="82" t="str">
        <x:v>Do not create second master</x:v>
      </x:c>
      <x:c r="E8" s="82" t="str">
        <x:v>Email matched; identity evidence retained</x:v>
      </x:c>
      <x:c r="F8" s="61" t="str">
        <x:v>QA-2026-002</x:v>
      </x:c>
      <x:c r="G8" s="61" t="str">
        <x:v>Closed — excluded</x:v>
      </x:c>
    </x:row>
    <x:row r="9" ht="31" customHeight="1">
      <x:c r="A9" s="61" t="str">
        <x:v>SRC-010</x:v>
      </x:c>
      <x:c r="B9" s="61" t="str">
        <x:v>Hold</x:v>
      </x:c>
      <x:c r="C9" s="61" t="str"/>
      <x:c r="D9" s="82" t="str">
        <x:v>Request verified email from source</x:v>
      </x:c>
      <x:c r="E9" s="82" t="str">
        <x:v>Required address missing; never inferred</x:v>
      </x:c>
      <x:c r="F9" s="61" t="str">
        <x:v>QA-2026-003</x:v>
      </x:c>
      <x:c r="G9" s="61" t="str">
        <x:v>Open — source follow-up</x:v>
      </x:c>
    </x:row>
    <x:row r="10" ht="21" customHeight="1">
      <x:c r="A10" s="61"/>
      <x:c r="B10" s="61"/>
      <x:c r="C10" s="61"/>
      <x:c r="D10" s="61"/>
      <x:c r="E10" s="61"/>
      <x:c r="F10" s="61"/>
      <x:c r="G10" s="61"/>
    </x:row>
    <x:row r="11" ht="21" customHeight="1">
      <x:c r="A11" s="61"/>
      <x:c r="B11" s="61"/>
      <x:c r="C11" s="61"/>
      <x:c r="D11" s="61"/>
      <x:c r="E11" s="61"/>
      <x:c r="F11" s="61"/>
      <x:c r="G11" s="61"/>
    </x:row>
    <x:row r="12" ht="26" customHeight="1">
      <x:c r="A12" s="16" t="str">
        <x:v>HANDOFF RULES</x:v>
      </x:c>
      <x:c r="B12" s="16"/>
      <x:c r="C12" s="16"/>
      <x:c r="D12" s="16"/>
      <x:c r="E12" s="16"/>
      <x:c r="F12" s="16"/>
      <x:c r="G12" s="16"/>
    </x:row>
    <x:row r="13" ht="21" customHeight="1">
      <x:c r="A13" s="61"/>
      <x:c r="B13" s="61"/>
      <x:c r="C13" s="61"/>
      <x:c r="D13" s="61"/>
      <x:c r="E13" s="61"/>
      <x:c r="F13" s="61"/>
      <x:c r="G13" s="61"/>
    </x:row>
    <x:row r="14" ht="30" customHeight="1">
      <x:c r="A14" s="25" t="str">
        <x:v>Duplicate: do not create a second master. Verify identity before linking/merging.</x:v>
      </x:c>
      <x:c r="B14" s="25"/>
      <x:c r="C14" s="25"/>
      <x:c r="D14" s="25"/>
      <x:c r="E14" s="25"/>
      <x:c r="F14" s="25"/>
      <x:c r="G14" s="25"/>
    </x:row>
    <x:row r="15" ht="21" customHeight="1">
      <x:c r="A15" s="61"/>
      <x:c r="B15" s="61"/>
      <x:c r="C15" s="61"/>
      <x:c r="D15" s="61"/>
      <x:c r="E15" s="61"/>
      <x:c r="F15" s="61"/>
      <x:c r="G15" s="61"/>
    </x:row>
    <x:row r="16" ht="30" customHeight="1">
      <x:c r="A16" s="25" t="str">
        <x:v>Hold: request missing required email from the submitter; do not invent it.</x:v>
      </x:c>
      <x:c r="B16" s="25"/>
      <x:c r="C16" s="25"/>
      <x:c r="D16" s="25"/>
      <x:c r="E16" s="25"/>
      <x:c r="F16" s="25"/>
      <x:c r="G16" s="25"/>
    </x:row>
    <x:row r="17" ht="21" customHeight="1">
      <x:c r="A17" s="61"/>
      <x:c r="B17" s="61"/>
      <x:c r="C17" s="61"/>
      <x:c r="D17" s="61"/>
      <x:c r="E17" s="61"/>
      <x:c r="F17" s="61"/>
      <x:c r="G17" s="61"/>
    </x:row>
    <x:row r="18" ht="30" customHeight="1">
      <x:c r="A18" s="25" t="str">
        <x:v>Audit: log source ID, decision, reviewer, evidence, date and action for production use.</x:v>
      </x:c>
      <x:c r="B18" s="25"/>
      <x:c r="C18" s="25"/>
      <x:c r="D18" s="25"/>
      <x:c r="E18" s="25"/>
      <x:c r="F18" s="25"/>
      <x:c r="G18" s="25"/>
    </x:row>
    <x:row r="19" ht="21" customHeight="1">
      <x:c r="A19" s="61"/>
      <x:c r="B19" s="61"/>
      <x:c r="C19" s="61"/>
      <x:c r="D19" s="61"/>
      <x:c r="E19" s="61"/>
      <x:c r="F19" s="61"/>
      <x:c r="G19" s="61"/>
    </x:row>
    <x:row r="20" ht="21" customHeight="1">
      <x:c r="A20" s="61"/>
      <x:c r="B20" s="61"/>
      <x:c r="C20" s="61"/>
      <x:c r="D20" s="61"/>
      <x:c r="E20" s="61"/>
      <x:c r="F20" s="61"/>
      <x:c r="G20" s="61"/>
    </x:row>
    <x:row r="21" ht="21" customHeight="1">
      <x:c r="A21" s="61"/>
      <x:c r="B21" s="61"/>
      <x:c r="C21" s="61"/>
      <x:c r="D21" s="61"/>
      <x:c r="E21" s="61"/>
      <x:c r="F21" s="61"/>
      <x:c r="G21" s="61"/>
    </x:row>
    <x:row r="22" ht="21" customHeight="1">
      <x:c r="A22" s="61"/>
      <x:c r="B22" s="61"/>
      <x:c r="C22" s="61"/>
      <x:c r="D22" s="61"/>
      <x:c r="E22" s="61"/>
      <x:c r="F22" s="61"/>
      <x:c r="G22" s="61"/>
    </x:row>
    <x:row r="23" ht="21" customHeight="1">
      <x:c r="A23" s="61"/>
      <x:c r="B23" s="61"/>
      <x:c r="C23" s="61"/>
      <x:c r="D23" s="61"/>
      <x:c r="E23" s="61"/>
      <x:c r="F23" s="61"/>
      <x:c r="G23" s="61"/>
    </x:row>
    <x:row r="24" ht="21" customHeight="1">
      <x:c r="A24" s="61"/>
      <x:c r="B24" s="61"/>
      <x:c r="C24" s="61"/>
      <x:c r="D24" s="61"/>
      <x:c r="E24" s="61"/>
      <x:c r="F24" s="61"/>
      <x:c r="G24" s="61"/>
    </x:row>
    <x:row r="25" ht="21" customHeight="1">
      <x:c r="A25" s="61"/>
      <x:c r="B25" s="61"/>
      <x:c r="C25" s="61"/>
      <x:c r="D25" s="61"/>
      <x:c r="E25" s="61"/>
      <x:c r="F25" s="61"/>
      <x:c r="G25" s="61"/>
    </x:row>
  </x:sheetData>
  <x:mergeCells>
    <x:mergeCell ref="A1:G2"/>
    <x:mergeCell ref="A3:G3"/>
    <x:mergeCell ref="A12:G12"/>
    <x:mergeCell ref="A14:G14"/>
    <x:mergeCell ref="A16:G16"/>
    <x:mergeCell ref="A18:G18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36" hidden="0" customWidth="1"/>
    <x:col min="3" max="3" width="24" hidden="0" customWidth="1"/>
    <x:col min="4" max="4" width="44" hidden="0" customWidth="1"/>
    <x:col min="5" max="5" width="15" hidden="0" customWidth="1"/>
    <x:col min="6" max="6" width="20" hidden="0" customWidth="1"/>
  </x:cols>
  <x:sheetData>
    <x:row r="1" ht="25" customHeight="1">
      <x:c r="A1" s="4" t="str">
        <x:v>PRACTICE SOURCE  |  20 RAW SUBMISSIONS</x:v>
      </x:c>
      <x:c r="B1" s="4"/>
      <x:c r="C1" s="4"/>
      <x:c r="D1" s="4"/>
      <x:c r="E1" s="4"/>
      <x:c r="F1" s="4"/>
    </x:row>
    <x:row r="2" ht="25" customHeight="1">
      <x:c r="A2" s="4"/>
      <x:c r="B2" s="4"/>
      <x:c r="C2" s="4"/>
      <x:c r="D2" s="4"/>
      <x:c r="E2" s="4"/>
      <x:c r="F2" s="4"/>
    </x:row>
    <x:row r="3" ht="27" customHeight="1">
      <x:c r="A3" s="10" t="str">
        <x:v>Simulated production inbox • transcribe into Practice Workbench; do not modify source records</x:v>
      </x:c>
      <x:c r="B3" s="10"/>
      <x:c r="C3" s="10"/>
      <x:c r="D3" s="10"/>
      <x:c r="E3" s="10"/>
      <x:c r="F3" s="10"/>
    </x:row>
    <x:row r="6" ht="36" customHeight="1">
      <x:c r="A6" s="55" t="str">
        <x:v>Entry ID</x:v>
      </x:c>
      <x:c r="B6" s="55" t="str">
        <x:v>Organization (raw)</x:v>
      </x:c>
      <x:c r="C6" s="55" t="str">
        <x:v>Contact (raw)</x:v>
      </x:c>
      <x:c r="D6" s="55" t="str">
        <x:v>Email (raw)</x:v>
      </x:c>
      <x:c r="E6" s="55" t="str">
        <x:v>State (raw)</x:v>
      </x:c>
      <x:c r="F6" s="55" t="str">
        <x:v>Date received</x:v>
      </x:c>
    </x:row>
    <x:row r="7" ht="21" customHeight="1">
      <x:c r="A7" s="84" t="str">
        <x:v>P-001</x:v>
      </x:c>
      <x:c r="B7" s="84" t="str">
        <x:v> ALPINE RIDGE DESIGN </x:v>
      </x:c>
      <x:c r="C7" s="84" t="str">
        <x:v>Eva  Stone</x:v>
      </x:c>
      <x:c r="D7" s="84" t="str">
        <x:v>EVA.STONE@ALPINE.EXAMPLE</x:v>
      </x:c>
      <x:c r="E7" s="84" t="str">
        <x:v>nc</x:v>
      </x:c>
      <x:c r="F7" s="85" t="n">
        <x:v>46307</x:v>
      </x:c>
    </x:row>
    <x:row r="8" ht="21" customHeight="1">
      <x:c r="A8" s="84" t="str">
        <x:v>P-002</x:v>
      </x:c>
      <x:c r="B8" s="84" t="str">
        <x:v>brookstone freight</x:v>
      </x:c>
      <x:c r="C8" s="84" t="str">
        <x:v>Ray Ellis</x:v>
      </x:c>
      <x:c r="D8" s="84" t="str">
        <x:v>ray.ellis@brookstone.example</x:v>
      </x:c>
      <x:c r="E8" s="84" t="str">
        <x:v>SC</x:v>
      </x:c>
      <x:c r="F8" s="85" t="n">
        <x:v>46308</x:v>
      </x:c>
    </x:row>
    <x:row r="9" ht="21" customHeight="1">
      <x:c r="A9" s="84" t="str">
        <x:v>P-003</x:v>
      </x:c>
      <x:c r="B9" s="84" t="str">
        <x:v>Blue cedar markets</x:v>
      </x:c>
      <x:c r="C9" s="84" t="str">
        <x:v>Nina Cole</x:v>
      </x:c>
      <x:c r="D9" s="84" t="str">
        <x:v>NINA.COLE@BLUECEDAR.EXAMPLE</x:v>
      </x:c>
      <x:c r="E9" s="84" t="str">
        <x:v>va</x:v>
      </x:c>
      <x:c r="F9" s="85" t="n">
        <x:v>46308</x:v>
      </x:c>
    </x:row>
    <x:row r="10" ht="21" customHeight="1">
      <x:c r="A10" s="84" t="str">
        <x:v>P-004</x:v>
      </x:c>
      <x:c r="B10" s="84" t="str">
        <x:v>Cypress Vale Health</x:v>
      </x:c>
      <x:c r="C10" s="84" t="str">
        <x:v>Omar Tran</x:v>
      </x:c>
      <x:c r="D10" s="84" t="str">
        <x:v>omar.tran@cypressvale.example</x:v>
      </x:c>
      <x:c r="E10" s="84" t="str">
        <x:v>GA</x:v>
      </x:c>
      <x:c r="F10" s="85" t="n">
        <x:v>46309</x:v>
      </x:c>
    </x:row>
    <x:row r="11" ht="21" customHeight="1">
      <x:c r="A11" s="84" t="str">
        <x:v>P-005</x:v>
      </x:c>
      <x:c r="B11" s="84" t="str">
        <x:v>FIREFLY PAPER CO</x:v>
      </x:c>
      <x:c r="C11" s="84" t="str">
        <x:v>Nora Hale</x:v>
      </x:c>
      <x:c r="D11" s="84" t="str">
        <x:v>nora.hale@firefly.example</x:v>
      </x:c>
      <x:c r="E11" s="84" t="str">
        <x:v>nc</x:v>
      </x:c>
      <x:c r="F11" s="85" t="n">
        <x:v>46309</x:v>
      </x:c>
    </x:row>
    <x:row r="12" ht="21" customHeight="1">
      <x:c r="A12" s="84" t="str">
        <x:v>P-006</x:v>
      </x:c>
      <x:c r="B12" s="84" t="str">
        <x:v>Silver Hollow Studio</x:v>
      </x:c>
      <x:c r="C12" s="84" t="str">
        <x:v>Lia Wong</x:v>
      </x:c>
      <x:c r="D12" s="84" t="str">
        <x:v>lia.wong@silverhollow.example</x:v>
      </x:c>
      <x:c r="E12" s="84" t="str">
        <x:v>TX</x:v>
      </x:c>
      <x:c r="F12" s="85" t="n">
        <x:v>46310</x:v>
      </x:c>
    </x:row>
    <x:row r="13" ht="21" customHeight="1">
      <x:c r="A13" s="84" t="str">
        <x:v>P-007</x:v>
      </x:c>
      <x:c r="B13" s="84" t="str">
        <x:v>Alpine Ridge Designs</x:v>
      </x:c>
      <x:c r="C13" s="84" t="str">
        <x:v>Eva Stone</x:v>
      </x:c>
      <x:c r="D13" s="84" t="str">
        <x:v>eva.stone@alpine.example</x:v>
      </x:c>
      <x:c r="E13" s="84" t="str">
        <x:v>NC</x:v>
      </x:c>
      <x:c r="F13" s="85" t="n">
        <x:v>46310</x:v>
      </x:c>
    </x:row>
    <x:row r="14" ht="21" customHeight="1">
      <x:c r="A14" s="84" t="str">
        <x:v>P-008</x:v>
      </x:c>
      <x:c r="B14" s="84" t="str">
        <x:v>Alder &amp; Finch</x:v>
      </x:c>
      <x:c r="C14" s="84" t="str">
        <x:v>Tom Bell</x:v>
      </x:c>
      <x:c r="D14" s="84" t="str">
        <x:v> TOM.BELL@ALDERFINCH.EXAMPLE </x:v>
      </x:c>
      <x:c r="E14" s="84" t="str">
        <x:v>fl</x:v>
      </x:c>
      <x:c r="F14" s="85" t="n">
        <x:v>46311</x:v>
      </x:c>
    </x:row>
    <x:row r="15" ht="21" customHeight="1">
      <x:c r="A15" s="84" t="str">
        <x:v>P-009</x:v>
      </x:c>
      <x:c r="B15" s="84" t="str">
        <x:v>Eastbrook IT</x:v>
      </x:c>
      <x:c r="C15" s="84" t="str">
        <x:v>Mia Foster</x:v>
      </x:c>
      <x:c r="D15" s="84" t="str">
        <x:v>mia.foster@eastbrook.example</x:v>
      </x:c>
      <x:c r="E15" s="84" t="str">
        <x:v>NC</x:v>
      </x:c>
      <x:c r="F15" s="85" t="n">
        <x:v>46311</x:v>
      </x:c>
    </x:row>
    <x:row r="16" ht="21" customHeight="1">
      <x:c r="A16" s="84" t="str">
        <x:v>P-010</x:v>
      </x:c>
      <x:c r="B16" s="84" t="str">
        <x:v>RIVERSTONE LEGAL</x:v>
      </x:c>
      <x:c r="C16" s="84" t="str">
        <x:v>Cal Reed</x:v>
      </x:c>
      <x:c r="D16" s="84" t="str">
        <x:v>cal.reed@riverstone.example</x:v>
      </x:c>
      <x:c r="E16" s="84" t="str">
        <x:v>MD</x:v>
      </x:c>
      <x:c r="F16" s="85" t="n">
        <x:v>46312</x:v>
      </x:c>
    </x:row>
    <x:row r="17" ht="21" customHeight="1">
      <x:c r="A17" s="84" t="str">
        <x:v>P-011</x:v>
      </x:c>
      <x:c r="B17" s="84" t="str">
        <x:v>Dawn Harbor Logistics</x:v>
      </x:c>
      <x:c r="C17" s="84" t="str">
        <x:v>Kim  Price</x:v>
      </x:c>
      <x:c r="D17" s="84" t="str">
        <x:v>kim.price@dawnharbor.example</x:v>
      </x:c>
      <x:c r="E17" s="84" t="str">
        <x:v>tn</x:v>
      </x:c>
      <x:c r="F17" s="85" t="n">
        <x:v>46312</x:v>
      </x:c>
    </x:row>
    <x:row r="18" ht="21" customHeight="1">
      <x:c r="A18" s="84" t="str">
        <x:v>P-012</x:v>
      </x:c>
      <x:c r="B18" s="84" t="str">
        <x:v>Lumen Supply LLC</x:v>
      </x:c>
      <x:c r="C18" s="84" t="str">
        <x:v>Sid Lee</x:v>
      </x:c>
      <x:c r="D18" s="84" t="str"/>
      <x:c r="E18" s="84" t="str">
        <x:v>NC</x:v>
      </x:c>
      <x:c r="F18" s="85" t="n">
        <x:v>46313</x:v>
      </x:c>
    </x:row>
    <x:row r="19" ht="21" customHeight="1">
      <x:c r="A19" s="84" t="str">
        <x:v>P-013</x:v>
      </x:c>
      <x:c r="B19" s="84" t="str">
        <x:v>maple spring media</x:v>
      </x:c>
      <x:c r="C19" s="84" t="str">
        <x:v>Tess Ward</x:v>
      </x:c>
      <x:c r="D19" s="84" t="str">
        <x:v>TESS.WARD@MAPLESPRING.EXAMPLE</x:v>
      </x:c>
      <x:c r="E19" s="84" t="str">
        <x:v>NY</x:v>
      </x:c>
      <x:c r="F19" s="85" t="n">
        <x:v>46313</x:v>
      </x:c>
    </x:row>
    <x:row r="20" ht="21" customHeight="1">
      <x:c r="A20" s="84" t="str">
        <x:v>P-014</x:v>
      </x:c>
      <x:c r="B20" s="84" t="str">
        <x:v>North Harbor Dental</x:v>
      </x:c>
      <x:c r="C20" s="84" t="str">
        <x:v>Ana Cruz</x:v>
      </x:c>
      <x:c r="D20" s="84" t="str">
        <x:v>ana.cruz@northharbor.example</x:v>
      </x:c>
      <x:c r="E20" s="84" t="str">
        <x:v>sc</x:v>
      </x:c>
      <x:c r="F20" s="85" t="n">
        <x:v>46314</x:v>
      </x:c>
    </x:row>
    <x:row r="21" ht="21" customHeight="1">
      <x:c r="A21" s="84" t="str">
        <x:v>P-015</x:v>
      </x:c>
      <x:c r="B21" s="84" t="str">
        <x:v>Silver Hollow Studios</x:v>
      </x:c>
      <x:c r="C21" s="84" t="str">
        <x:v>Lia Wong</x:v>
      </x:c>
      <x:c r="D21" s="84" t="str">
        <x:v>LIA.WONG@SILVERHOLLOW.EXAMPLE</x:v>
      </x:c>
      <x:c r="E21" s="84" t="str">
        <x:v>TX</x:v>
      </x:c>
      <x:c r="F21" s="85" t="n">
        <x:v>46314</x:v>
      </x:c>
    </x:row>
    <x:row r="22" ht="21" customHeight="1">
      <x:c r="A22" s="84" t="str">
        <x:v>P-016</x:v>
      </x:c>
      <x:c r="B22" s="84" t="str">
        <x:v>Birch Lake Realty</x:v>
      </x:c>
      <x:c r="C22" s="84" t="str">
        <x:v>Jon Park</x:v>
      </x:c>
      <x:c r="D22" s="84" t="str">
        <x:v>jon.park@birchlake.example</x:v>
      </x:c>
      <x:c r="E22" s="84" t="str">
        <x:v>GA</x:v>
      </x:c>
      <x:c r="F22" s="85" t="n">
        <x:v>46315</x:v>
      </x:c>
    </x:row>
    <x:row r="23" ht="21" customHeight="1">
      <x:c r="A23" s="84" t="str">
        <x:v>P-017</x:v>
      </x:c>
      <x:c r="B23" s="84" t="str">
        <x:v>SUMMIT TRADE SYSTEMS</x:v>
      </x:c>
      <x:c r="C23" s="84" t="str">
        <x:v>Isla Fox</x:v>
      </x:c>
      <x:c r="D23" s="84" t="str">
        <x:v>isla.fox@summittrade.example</x:v>
      </x:c>
      <x:c r="E23" s="84" t="str">
        <x:v>nc</x:v>
      </x:c>
      <x:c r="F23" s="85" t="n">
        <x:v>46315</x:v>
      </x:c>
    </x:row>
    <x:row r="24" ht="21" customHeight="1">
      <x:c r="A24" s="84" t="str">
        <x:v>P-018</x:v>
      </x:c>
      <x:c r="B24" s="84" t="str">
        <x:v>Westland Advisory</x:v>
      </x:c>
      <x:c r="C24" s="84" t="str">
        <x:v>Ari Hunt</x:v>
      </x:c>
      <x:c r="D24" s="84" t="str">
        <x:v>ari.hunt@westland.example</x:v>
      </x:c>
      <x:c r="E24" s="84" t="str">
        <x:v>va</x:v>
      </x:c>
      <x:c r="F24" s="85" t="n">
        <x:v>46316</x:v>
      </x:c>
    </x:row>
    <x:row r="25" ht="21" customHeight="1">
      <x:c r="A25" s="84" t="str">
        <x:v>P-019</x:v>
      </x:c>
      <x:c r="B25" s="84" t="str">
        <x:v>Tidal Grove Co</x:v>
      </x:c>
      <x:c r="C25" s="84" t="str">
        <x:v>Jules Day</x:v>
      </x:c>
      <x:c r="D25" s="84" t="str">
        <x:v>  </x:v>
      </x:c>
      <x:c r="E25" s="84" t="str">
        <x:v>FL</x:v>
      </x:c>
      <x:c r="F25" s="85" t="n">
        <x:v>46316</x:v>
      </x:c>
    </x:row>
    <x:row r="26" ht="21" customHeight="1">
      <x:c r="A26" s="84" t="str">
        <x:v>P-020</x:v>
      </x:c>
      <x:c r="B26" s="84" t="str">
        <x:v>Cobalt Route Group</x:v>
      </x:c>
      <x:c r="C26" s="84" t="str">
        <x:v>Dana  West</x:v>
      </x:c>
      <x:c r="D26" s="84" t="str">
        <x:v>dana.west@cobaltroute.example</x:v>
      </x:c>
      <x:c r="E26" s="84" t="str">
        <x:v>NC</x:v>
      </x:c>
      <x:c r="F26" s="85" t="n">
        <x:v>46317</x:v>
      </x:c>
    </x:row>
  </x:sheetData>
  <x:mergeCells>
    <x:mergeCell ref="A1:F2"/>
    <x:mergeCell ref="A3:F3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35" hidden="0" customWidth="1"/>
    <x:col min="3" max="3" width="24" hidden="0" customWidth="1"/>
    <x:col min="4" max="4" width="43" hidden="0" customWidth="1"/>
    <x:col min="5" max="5" width="13" hidden="0" customWidth="1"/>
    <x:col min="6" max="6" width="19" hidden="0" customWidth="1"/>
    <x:col min="7" max="7" width="20" hidden="0" customWidth="1"/>
    <x:col min="8" max="8" width="22" hidden="0" customWidth="1"/>
    <x:col min="9" max="9" width="16" hidden="0" customWidth="1"/>
    <x:col min="10" max="10" width="40" hidden="0" customWidth="1"/>
  </x:cols>
  <x:sheetData>
    <x:row r="1" ht="25" customHeight="1">
      <x:c r="A1" s="4" t="str">
        <x:v>PRACTICE WORKBENCH  |  DATA ENTRY TEST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5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3" ht="27" customHeight="1">
      <x:c r="A3" s="10" t="str">
        <x:v>Type into BLUE cells; do not use formulas for answers • accuracy compares to Answer Key</x:v>
      </x:c>
      <x:c r="B3" s="10"/>
      <x:c r="C3" s="10"/>
      <x:c r="D3" s="10"/>
      <x:c r="E3" s="10"/>
      <x:c r="F3" s="10"/>
      <x:c r="G3" s="10"/>
      <x:c r="H3" s="10"/>
      <x:c r="I3" s="10"/>
      <x:c r="J3" s="10"/>
    </x:row>
    <x:row r="5" ht="25" customHeight="1">
      <x:c r="A5" s="39" t="str">
        <x:v>EDITABLE INPUTS • B–F    |    Normalize case, spaces, and decisions</x:v>
      </x:c>
      <x:c r="B5" s="39"/>
      <x:c r="C5" s="39"/>
      <x:c r="D5" s="39"/>
      <x:c r="E5" s="39"/>
      <x:c r="F5" s="39"/>
      <x:c r="G5" s="43" t="str">
        <x:v>AUTOMATED QUALITY FEEDBACK</x:v>
      </x:c>
      <x:c r="H5" s="43"/>
      <x:c r="I5" s="43"/>
      <x:c r="J5" s="43"/>
    </x:row>
    <x:row r="6" ht="36" customHeight="1">
      <x:c r="A6" s="55" t="str">
        <x:v>Entry ID</x:v>
      </x:c>
      <x:c r="B6" s="55" t="str">
        <x:v>Clean business</x:v>
      </x:c>
      <x:c r="C6" s="55" t="str">
        <x:v>Clean contact</x:v>
      </x:c>
      <x:c r="D6" s="55" t="str">
        <x:v>Normalized email</x:v>
      </x:c>
      <x:c r="E6" s="55" t="str">
        <x:v>State</x:v>
      </x:c>
      <x:c r="F6" s="55" t="str">
        <x:v>Decision</x:v>
      </x:c>
      <x:c r="G6" s="55" t="str">
        <x:v>Required QA</x:v>
      </x:c>
      <x:c r="H6" s="55" t="str">
        <x:v>Duplicate QA</x:v>
      </x:c>
      <x:c r="I6" s="55" t="str">
        <x:v>Key match</x:v>
      </x:c>
      <x:c r="J6" s="55" t="str">
        <x:v>Reviewer note</x:v>
      </x:c>
    </x:row>
    <x:row r="7" ht="21" customHeight="1">
      <x:c r="A7" s="61" t="str">
        <x:v>P-001</x:v>
      </x:c>
      <x:c r="B7" s="66"/>
      <x:c r="C7" s="66"/>
      <x:c r="D7" s="66"/>
      <x:c r="E7" s="66"/>
      <x:c r="F7" s="66"/>
      <x:c r="G7" s="70" t="str">
        <x:f>IF(COUNTA(B7:F7)=0,"NOT STARTED",IF(OR(B7="",C7="",E7=""),"INCOMPLETE",IF(AND(D7="",F7&lt;&gt;"Hold"),"REVIEW","READY")))</x:f>
        <x:v>NOT STARTED</x:v>
      </x:c>
      <x:c r="H7" s="70" t="str">
        <x:f>IF(D7="","NOT TESTED",IF(COUNTIF($D$7:D7,D7)&gt;1,"DUPLICATE","UNIQUE"))</x:f>
        <x:v>NOT TESTED</x:v>
      </x:c>
      <x:c r="I7" s="70" t="str">
        <x:f>IF(COUNTA(B7:F7)=0,"NOT STARTED",IF(AND(B7='Answer Key'!B7,C7='Answer Key'!C7,D7='Answer Key'!D7,E7='Answer Key'!E7,F7='Answer Key'!F7),"MATCH","REVIEW"))</x:f>
        <x:v>NOT STARTED</x:v>
      </x:c>
      <x:c r="J7" s="70" t="str">
        <x:f>IF(I7="NOT STARTED","Awaiting entry",IF(I7="MATCH","PASS — checked", "Review fields against Answer Key"))</x:f>
        <x:v>Awaiting entry</x:v>
      </x:c>
    </x:row>
    <x:row r="8" ht="21" customHeight="1">
      <x:c r="A8" s="61" t="str">
        <x:v>P-002</x:v>
      </x:c>
      <x:c r="B8" s="66"/>
      <x:c r="C8" s="66"/>
      <x:c r="D8" s="66"/>
      <x:c r="E8" s="66"/>
      <x:c r="F8" s="66"/>
      <x:c r="G8" s="70" t="str">
        <x:f>IF(COUNTA(B8:F8)=0,"NOT STARTED",IF(OR(B8="",C8="",E8=""),"INCOMPLETE",IF(AND(D8="",F8&lt;&gt;"Hold"),"REVIEW","READY")))</x:f>
        <x:v>NOT STARTED</x:v>
      </x:c>
      <x:c r="H8" s="70" t="str">
        <x:f>IF(D8="","NOT TESTED",IF(COUNTIF($D$7:D8,D8)&gt;1,"DUPLICATE","UNIQUE"))</x:f>
        <x:v>NOT TESTED</x:v>
      </x:c>
      <x:c r="I8" s="70" t="str">
        <x:f>IF(COUNTA(B8:F8)=0,"NOT STARTED",IF(AND(B8='Answer Key'!B8,C8='Answer Key'!C8,D8='Answer Key'!D8,E8='Answer Key'!E8,F8='Answer Key'!F8),"MATCH","REVIEW"))</x:f>
        <x:v>NOT STARTED</x:v>
      </x:c>
      <x:c r="J8" s="70" t="str">
        <x:f>IF(I8="NOT STARTED","Awaiting entry",IF(I8="MATCH","PASS — checked", "Review fields against Answer Key"))</x:f>
        <x:v>Awaiting entry</x:v>
      </x:c>
    </x:row>
    <x:row r="9" ht="21" customHeight="1">
      <x:c r="A9" s="61" t="str">
        <x:v>P-003</x:v>
      </x:c>
      <x:c r="B9" s="66"/>
      <x:c r="C9" s="66"/>
      <x:c r="D9" s="66"/>
      <x:c r="E9" s="66"/>
      <x:c r="F9" s="66"/>
      <x:c r="G9" s="70" t="str">
        <x:f>IF(COUNTA(B9:F9)=0,"NOT STARTED",IF(OR(B9="",C9="",E9=""),"INCOMPLETE",IF(AND(D9="",F9&lt;&gt;"Hold"),"REVIEW","READY")))</x:f>
        <x:v>NOT STARTED</x:v>
      </x:c>
      <x:c r="H9" s="70" t="str">
        <x:f>IF(D9="","NOT TESTED",IF(COUNTIF($D$7:D9,D9)&gt;1,"DUPLICATE","UNIQUE"))</x:f>
        <x:v>NOT TESTED</x:v>
      </x:c>
      <x:c r="I9" s="70" t="str">
        <x:f>IF(COUNTA(B9:F9)=0,"NOT STARTED",IF(AND(B9='Answer Key'!B9,C9='Answer Key'!C9,D9='Answer Key'!D9,E9='Answer Key'!E9,F9='Answer Key'!F9),"MATCH","REVIEW"))</x:f>
        <x:v>NOT STARTED</x:v>
      </x:c>
      <x:c r="J9" s="70" t="str">
        <x:f>IF(I9="NOT STARTED","Awaiting entry",IF(I9="MATCH","PASS — checked", "Review fields against Answer Key"))</x:f>
        <x:v>Awaiting entry</x:v>
      </x:c>
    </x:row>
    <x:row r="10" ht="21" customHeight="1">
      <x:c r="A10" s="61" t="str">
        <x:v>P-004</x:v>
      </x:c>
      <x:c r="B10" s="66"/>
      <x:c r="C10" s="66"/>
      <x:c r="D10" s="66"/>
      <x:c r="E10" s="66"/>
      <x:c r="F10" s="66"/>
      <x:c r="G10" s="70" t="str">
        <x:f>IF(COUNTA(B10:F10)=0,"NOT STARTED",IF(OR(B10="",C10="",E10=""),"INCOMPLETE",IF(AND(D10="",F10&lt;&gt;"Hold"),"REVIEW","READY")))</x:f>
        <x:v>NOT STARTED</x:v>
      </x:c>
      <x:c r="H10" s="70" t="str">
        <x:f>IF(D10="","NOT TESTED",IF(COUNTIF($D$7:D10,D10)&gt;1,"DUPLICATE","UNIQUE"))</x:f>
        <x:v>NOT TESTED</x:v>
      </x:c>
      <x:c r="I10" s="70" t="str">
        <x:f>IF(COUNTA(B10:F10)=0,"NOT STARTED",IF(AND(B10='Answer Key'!B10,C10='Answer Key'!C10,D10='Answer Key'!D10,E10='Answer Key'!E10,F10='Answer Key'!F10),"MATCH","REVIEW"))</x:f>
        <x:v>NOT STARTED</x:v>
      </x:c>
      <x:c r="J10" s="70" t="str">
        <x:f>IF(I10="NOT STARTED","Awaiting entry",IF(I10="MATCH","PASS — checked", "Review fields against Answer Key"))</x:f>
        <x:v>Awaiting entry</x:v>
      </x:c>
    </x:row>
    <x:row r="11" ht="21" customHeight="1">
      <x:c r="A11" s="61" t="str">
        <x:v>P-005</x:v>
      </x:c>
      <x:c r="B11" s="66"/>
      <x:c r="C11" s="66"/>
      <x:c r="D11" s="66"/>
      <x:c r="E11" s="66"/>
      <x:c r="F11" s="66"/>
      <x:c r="G11" s="70" t="str">
        <x:f>IF(COUNTA(B11:F11)=0,"NOT STARTED",IF(OR(B11="",C11="",E11=""),"INCOMPLETE",IF(AND(D11="",F11&lt;&gt;"Hold"),"REVIEW","READY")))</x:f>
        <x:v>NOT STARTED</x:v>
      </x:c>
      <x:c r="H11" s="70" t="str">
        <x:f>IF(D11="","NOT TESTED",IF(COUNTIF($D$7:D11,D11)&gt;1,"DUPLICATE","UNIQUE"))</x:f>
        <x:v>NOT TESTED</x:v>
      </x:c>
      <x:c r="I11" s="70" t="str">
        <x:f>IF(COUNTA(B11:F11)=0,"NOT STARTED",IF(AND(B11='Answer Key'!B11,C11='Answer Key'!C11,D11='Answer Key'!D11,E11='Answer Key'!E11,F11='Answer Key'!F11),"MATCH","REVIEW"))</x:f>
        <x:v>NOT STARTED</x:v>
      </x:c>
      <x:c r="J11" s="70" t="str">
        <x:f>IF(I11="NOT STARTED","Awaiting entry",IF(I11="MATCH","PASS — checked", "Review fields against Answer Key"))</x:f>
        <x:v>Awaiting entry</x:v>
      </x:c>
    </x:row>
    <x:row r="12" ht="21" customHeight="1">
      <x:c r="A12" s="61" t="str">
        <x:v>P-006</x:v>
      </x:c>
      <x:c r="B12" s="66"/>
      <x:c r="C12" s="66"/>
      <x:c r="D12" s="66"/>
      <x:c r="E12" s="66"/>
      <x:c r="F12" s="66"/>
      <x:c r="G12" s="70" t="str">
        <x:f>IF(COUNTA(B12:F12)=0,"NOT STARTED",IF(OR(B12="",C12="",E12=""),"INCOMPLETE",IF(AND(D12="",F12&lt;&gt;"Hold"),"REVIEW","READY")))</x:f>
        <x:v>NOT STARTED</x:v>
      </x:c>
      <x:c r="H12" s="70" t="str">
        <x:f>IF(D12="","NOT TESTED",IF(COUNTIF($D$7:D12,D12)&gt;1,"DUPLICATE","UNIQUE"))</x:f>
        <x:v>NOT TESTED</x:v>
      </x:c>
      <x:c r="I12" s="70" t="str">
        <x:f>IF(COUNTA(B12:F12)=0,"NOT STARTED",IF(AND(B12='Answer Key'!B12,C12='Answer Key'!C12,D12='Answer Key'!D12,E12='Answer Key'!E12,F12='Answer Key'!F12),"MATCH","REVIEW"))</x:f>
        <x:v>NOT STARTED</x:v>
      </x:c>
      <x:c r="J12" s="70" t="str">
        <x:f>IF(I12="NOT STARTED","Awaiting entry",IF(I12="MATCH","PASS — checked", "Review fields against Answer Key"))</x:f>
        <x:v>Awaiting entry</x:v>
      </x:c>
    </x:row>
    <x:row r="13" ht="21" customHeight="1">
      <x:c r="A13" s="61" t="str">
        <x:v>P-007</x:v>
      </x:c>
      <x:c r="B13" s="66"/>
      <x:c r="C13" s="66"/>
      <x:c r="D13" s="66"/>
      <x:c r="E13" s="66"/>
      <x:c r="F13" s="66"/>
      <x:c r="G13" s="70" t="str">
        <x:f>IF(COUNTA(B13:F13)=0,"NOT STARTED",IF(OR(B13="",C13="",E13=""),"INCOMPLETE",IF(AND(D13="",F13&lt;&gt;"Hold"),"REVIEW","READY")))</x:f>
        <x:v>NOT STARTED</x:v>
      </x:c>
      <x:c r="H13" s="70" t="str">
        <x:f>IF(D13="","NOT TESTED",IF(COUNTIF($D$7:D13,D13)&gt;1,"DUPLICATE","UNIQUE"))</x:f>
        <x:v>NOT TESTED</x:v>
      </x:c>
      <x:c r="I13" s="70" t="str">
        <x:f>IF(COUNTA(B13:F13)=0,"NOT STARTED",IF(AND(B13='Answer Key'!B13,C13='Answer Key'!C13,D13='Answer Key'!D13,E13='Answer Key'!E13,F13='Answer Key'!F13),"MATCH","REVIEW"))</x:f>
        <x:v>NOT STARTED</x:v>
      </x:c>
      <x:c r="J13" s="70" t="str">
        <x:f>IF(I13="NOT STARTED","Awaiting entry",IF(I13="MATCH","PASS — checked", "Review fields against Answer Key"))</x:f>
        <x:v>Awaiting entry</x:v>
      </x:c>
    </x:row>
    <x:row r="14" ht="21" customHeight="1">
      <x:c r="A14" s="61" t="str">
        <x:v>P-008</x:v>
      </x:c>
      <x:c r="B14" s="66"/>
      <x:c r="C14" s="66"/>
      <x:c r="D14" s="66"/>
      <x:c r="E14" s="66"/>
      <x:c r="F14" s="66"/>
      <x:c r="G14" s="70" t="str">
        <x:f>IF(COUNTA(B14:F14)=0,"NOT STARTED",IF(OR(B14="",C14="",E14=""),"INCOMPLETE",IF(AND(D14="",F14&lt;&gt;"Hold"),"REVIEW","READY")))</x:f>
        <x:v>NOT STARTED</x:v>
      </x:c>
      <x:c r="H14" s="70" t="str">
        <x:f>IF(D14="","NOT TESTED",IF(COUNTIF($D$7:D14,D14)&gt;1,"DUPLICATE","UNIQUE"))</x:f>
        <x:v>NOT TESTED</x:v>
      </x:c>
      <x:c r="I14" s="70" t="str">
        <x:f>IF(COUNTA(B14:F14)=0,"NOT STARTED",IF(AND(B14='Answer Key'!B14,C14='Answer Key'!C14,D14='Answer Key'!D14,E14='Answer Key'!E14,F14='Answer Key'!F14),"MATCH","REVIEW"))</x:f>
        <x:v>NOT STARTED</x:v>
      </x:c>
      <x:c r="J14" s="70" t="str">
        <x:f>IF(I14="NOT STARTED","Awaiting entry",IF(I14="MATCH","PASS — checked", "Review fields against Answer Key"))</x:f>
        <x:v>Awaiting entry</x:v>
      </x:c>
    </x:row>
    <x:row r="15" ht="21" customHeight="1">
      <x:c r="A15" s="61" t="str">
        <x:v>P-009</x:v>
      </x:c>
      <x:c r="B15" s="66"/>
      <x:c r="C15" s="66"/>
      <x:c r="D15" s="66"/>
      <x:c r="E15" s="66"/>
      <x:c r="F15" s="66"/>
      <x:c r="G15" s="70" t="str">
        <x:f>IF(COUNTA(B15:F15)=0,"NOT STARTED",IF(OR(B15="",C15="",E15=""),"INCOMPLETE",IF(AND(D15="",F15&lt;&gt;"Hold"),"REVIEW","READY")))</x:f>
        <x:v>NOT STARTED</x:v>
      </x:c>
      <x:c r="H15" s="70" t="str">
        <x:f>IF(D15="","NOT TESTED",IF(COUNTIF($D$7:D15,D15)&gt;1,"DUPLICATE","UNIQUE"))</x:f>
        <x:v>NOT TESTED</x:v>
      </x:c>
      <x:c r="I15" s="70" t="str">
        <x:f>IF(COUNTA(B15:F15)=0,"NOT STARTED",IF(AND(B15='Answer Key'!B15,C15='Answer Key'!C15,D15='Answer Key'!D15,E15='Answer Key'!E15,F15='Answer Key'!F15),"MATCH","REVIEW"))</x:f>
        <x:v>NOT STARTED</x:v>
      </x:c>
      <x:c r="J15" s="70" t="str">
        <x:f>IF(I15="NOT STARTED","Awaiting entry",IF(I15="MATCH","PASS — checked", "Review fields against Answer Key"))</x:f>
        <x:v>Awaiting entry</x:v>
      </x:c>
    </x:row>
    <x:row r="16" ht="21" customHeight="1">
      <x:c r="A16" s="61" t="str">
        <x:v>P-010</x:v>
      </x:c>
      <x:c r="B16" s="66"/>
      <x:c r="C16" s="66"/>
      <x:c r="D16" s="66"/>
      <x:c r="E16" s="66"/>
      <x:c r="F16" s="66"/>
      <x:c r="G16" s="70" t="str">
        <x:f>IF(COUNTA(B16:F16)=0,"NOT STARTED",IF(OR(B16="",C16="",E16=""),"INCOMPLETE",IF(AND(D16="",F16&lt;&gt;"Hold"),"REVIEW","READY")))</x:f>
        <x:v>NOT STARTED</x:v>
      </x:c>
      <x:c r="H16" s="70" t="str">
        <x:f>IF(D16="","NOT TESTED",IF(COUNTIF($D$7:D16,D16)&gt;1,"DUPLICATE","UNIQUE"))</x:f>
        <x:v>NOT TESTED</x:v>
      </x:c>
      <x:c r="I16" s="70" t="str">
        <x:f>IF(COUNTA(B16:F16)=0,"NOT STARTED",IF(AND(B16='Answer Key'!B16,C16='Answer Key'!C16,D16='Answer Key'!D16,E16='Answer Key'!E16,F16='Answer Key'!F16),"MATCH","REVIEW"))</x:f>
        <x:v>NOT STARTED</x:v>
      </x:c>
      <x:c r="J16" s="70" t="str">
        <x:f>IF(I16="NOT STARTED","Awaiting entry",IF(I16="MATCH","PASS — checked", "Review fields against Answer Key"))</x:f>
        <x:v>Awaiting entry</x:v>
      </x:c>
    </x:row>
    <x:row r="17" ht="21" customHeight="1">
      <x:c r="A17" s="61" t="str">
        <x:v>P-011</x:v>
      </x:c>
      <x:c r="B17" s="66"/>
      <x:c r="C17" s="66"/>
      <x:c r="D17" s="66"/>
      <x:c r="E17" s="66"/>
      <x:c r="F17" s="66"/>
      <x:c r="G17" s="70" t="str">
        <x:f>IF(COUNTA(B17:F17)=0,"NOT STARTED",IF(OR(B17="",C17="",E17=""),"INCOMPLETE",IF(AND(D17="",F17&lt;&gt;"Hold"),"REVIEW","READY")))</x:f>
        <x:v>NOT STARTED</x:v>
      </x:c>
      <x:c r="H17" s="70" t="str">
        <x:f>IF(D17="","NOT TESTED",IF(COUNTIF($D$7:D17,D17)&gt;1,"DUPLICATE","UNIQUE"))</x:f>
        <x:v>NOT TESTED</x:v>
      </x:c>
      <x:c r="I17" s="70" t="str">
        <x:f>IF(COUNTA(B17:F17)=0,"NOT STARTED",IF(AND(B17='Answer Key'!B17,C17='Answer Key'!C17,D17='Answer Key'!D17,E17='Answer Key'!E17,F17='Answer Key'!F17),"MATCH","REVIEW"))</x:f>
        <x:v>NOT STARTED</x:v>
      </x:c>
      <x:c r="J17" s="70" t="str">
        <x:f>IF(I17="NOT STARTED","Awaiting entry",IF(I17="MATCH","PASS — checked", "Review fields against Answer Key"))</x:f>
        <x:v>Awaiting entry</x:v>
      </x:c>
    </x:row>
    <x:row r="18" ht="21" customHeight="1">
      <x:c r="A18" s="61" t="str">
        <x:v>P-012</x:v>
      </x:c>
      <x:c r="B18" s="66"/>
      <x:c r="C18" s="66"/>
      <x:c r="D18" s="66"/>
      <x:c r="E18" s="66"/>
      <x:c r="F18" s="66"/>
      <x:c r="G18" s="70" t="str">
        <x:f>IF(COUNTA(B18:F18)=0,"NOT STARTED",IF(OR(B18="",C18="",E18=""),"INCOMPLETE",IF(AND(D18="",F18&lt;&gt;"Hold"),"REVIEW","READY")))</x:f>
        <x:v>NOT STARTED</x:v>
      </x:c>
      <x:c r="H18" s="70" t="str">
        <x:f>IF(D18="","NOT TESTED",IF(COUNTIF($D$7:D18,D18)&gt;1,"DUPLICATE","UNIQUE"))</x:f>
        <x:v>NOT TESTED</x:v>
      </x:c>
      <x:c r="I18" s="70" t="str">
        <x:f>IF(COUNTA(B18:F18)=0,"NOT STARTED",IF(AND(B18='Answer Key'!B18,C18='Answer Key'!C18,D18='Answer Key'!D18,E18='Answer Key'!E18,F18='Answer Key'!F18),"MATCH","REVIEW"))</x:f>
        <x:v>NOT STARTED</x:v>
      </x:c>
      <x:c r="J18" s="70" t="str">
        <x:f>IF(I18="NOT STARTED","Awaiting entry",IF(I18="MATCH","PASS — checked", "Review fields against Answer Key"))</x:f>
        <x:v>Awaiting entry</x:v>
      </x:c>
    </x:row>
    <x:row r="19" ht="21" customHeight="1">
      <x:c r="A19" s="61" t="str">
        <x:v>P-013</x:v>
      </x:c>
      <x:c r="B19" s="66"/>
      <x:c r="C19" s="66"/>
      <x:c r="D19" s="66"/>
      <x:c r="E19" s="66"/>
      <x:c r="F19" s="66"/>
      <x:c r="G19" s="70" t="str">
        <x:f>IF(COUNTA(B19:F19)=0,"NOT STARTED",IF(OR(B19="",C19="",E19=""),"INCOMPLETE",IF(AND(D19="",F19&lt;&gt;"Hold"),"REVIEW","READY")))</x:f>
        <x:v>NOT STARTED</x:v>
      </x:c>
      <x:c r="H19" s="70" t="str">
        <x:f>IF(D19="","NOT TESTED",IF(COUNTIF($D$7:D19,D19)&gt;1,"DUPLICATE","UNIQUE"))</x:f>
        <x:v>NOT TESTED</x:v>
      </x:c>
      <x:c r="I19" s="70" t="str">
        <x:f>IF(COUNTA(B19:F19)=0,"NOT STARTED",IF(AND(B19='Answer Key'!B19,C19='Answer Key'!C19,D19='Answer Key'!D19,E19='Answer Key'!E19,F19='Answer Key'!F19),"MATCH","REVIEW"))</x:f>
        <x:v>NOT STARTED</x:v>
      </x:c>
      <x:c r="J19" s="70" t="str">
        <x:f>IF(I19="NOT STARTED","Awaiting entry",IF(I19="MATCH","PASS — checked", "Review fields against Answer Key"))</x:f>
        <x:v>Awaiting entry</x:v>
      </x:c>
    </x:row>
    <x:row r="20" ht="21" customHeight="1">
      <x:c r="A20" s="61" t="str">
        <x:v>P-014</x:v>
      </x:c>
      <x:c r="B20" s="66"/>
      <x:c r="C20" s="66"/>
      <x:c r="D20" s="66"/>
      <x:c r="E20" s="66"/>
      <x:c r="F20" s="66"/>
      <x:c r="G20" s="70" t="str">
        <x:f>IF(COUNTA(B20:F20)=0,"NOT STARTED",IF(OR(B20="",C20="",E20=""),"INCOMPLETE",IF(AND(D20="",F20&lt;&gt;"Hold"),"REVIEW","READY")))</x:f>
        <x:v>NOT STARTED</x:v>
      </x:c>
      <x:c r="H20" s="70" t="str">
        <x:f>IF(D20="","NOT TESTED",IF(COUNTIF($D$7:D20,D20)&gt;1,"DUPLICATE","UNIQUE"))</x:f>
        <x:v>NOT TESTED</x:v>
      </x:c>
      <x:c r="I20" s="70" t="str">
        <x:f>IF(COUNTA(B20:F20)=0,"NOT STARTED",IF(AND(B20='Answer Key'!B20,C20='Answer Key'!C20,D20='Answer Key'!D20,E20='Answer Key'!E20,F20='Answer Key'!F20),"MATCH","REVIEW"))</x:f>
        <x:v>NOT STARTED</x:v>
      </x:c>
      <x:c r="J20" s="70" t="str">
        <x:f>IF(I20="NOT STARTED","Awaiting entry",IF(I20="MATCH","PASS — checked", "Review fields against Answer Key"))</x:f>
        <x:v>Awaiting entry</x:v>
      </x:c>
    </x:row>
    <x:row r="21" ht="21" customHeight="1">
      <x:c r="A21" s="61" t="str">
        <x:v>P-015</x:v>
      </x:c>
      <x:c r="B21" s="66"/>
      <x:c r="C21" s="66"/>
      <x:c r="D21" s="66"/>
      <x:c r="E21" s="66"/>
      <x:c r="F21" s="66"/>
      <x:c r="G21" s="70" t="str">
        <x:f>IF(COUNTA(B21:F21)=0,"NOT STARTED",IF(OR(B21="",C21="",E21=""),"INCOMPLETE",IF(AND(D21="",F21&lt;&gt;"Hold"),"REVIEW","READY")))</x:f>
        <x:v>NOT STARTED</x:v>
      </x:c>
      <x:c r="H21" s="70" t="str">
        <x:f>IF(D21="","NOT TESTED",IF(COUNTIF($D$7:D21,D21)&gt;1,"DUPLICATE","UNIQUE"))</x:f>
        <x:v>NOT TESTED</x:v>
      </x:c>
      <x:c r="I21" s="70" t="str">
        <x:f>IF(COUNTA(B21:F21)=0,"NOT STARTED",IF(AND(B21='Answer Key'!B21,C21='Answer Key'!C21,D21='Answer Key'!D21,E21='Answer Key'!E21,F21='Answer Key'!F21),"MATCH","REVIEW"))</x:f>
        <x:v>NOT STARTED</x:v>
      </x:c>
      <x:c r="J21" s="70" t="str">
        <x:f>IF(I21="NOT STARTED","Awaiting entry",IF(I21="MATCH","PASS — checked", "Review fields against Answer Key"))</x:f>
        <x:v>Awaiting entry</x:v>
      </x:c>
    </x:row>
    <x:row r="22" ht="21" customHeight="1">
      <x:c r="A22" s="61" t="str">
        <x:v>P-016</x:v>
      </x:c>
      <x:c r="B22" s="66"/>
      <x:c r="C22" s="66"/>
      <x:c r="D22" s="66"/>
      <x:c r="E22" s="66"/>
      <x:c r="F22" s="66"/>
      <x:c r="G22" s="70" t="str">
        <x:f>IF(COUNTA(B22:F22)=0,"NOT STARTED",IF(OR(B22="",C22="",E22=""),"INCOMPLETE",IF(AND(D22="",F22&lt;&gt;"Hold"),"REVIEW","READY")))</x:f>
        <x:v>NOT STARTED</x:v>
      </x:c>
      <x:c r="H22" s="70" t="str">
        <x:f>IF(D22="","NOT TESTED",IF(COUNTIF($D$7:D22,D22)&gt;1,"DUPLICATE","UNIQUE"))</x:f>
        <x:v>NOT TESTED</x:v>
      </x:c>
      <x:c r="I22" s="70" t="str">
        <x:f>IF(COUNTA(B22:F22)=0,"NOT STARTED",IF(AND(B22='Answer Key'!B22,C22='Answer Key'!C22,D22='Answer Key'!D22,E22='Answer Key'!E22,F22='Answer Key'!F22),"MATCH","REVIEW"))</x:f>
        <x:v>NOT STARTED</x:v>
      </x:c>
      <x:c r="J22" s="70" t="str">
        <x:f>IF(I22="NOT STARTED","Awaiting entry",IF(I22="MATCH","PASS — checked", "Review fields against Answer Key"))</x:f>
        <x:v>Awaiting entry</x:v>
      </x:c>
    </x:row>
    <x:row r="23" ht="21" customHeight="1">
      <x:c r="A23" s="61" t="str">
        <x:v>P-017</x:v>
      </x:c>
      <x:c r="B23" s="66"/>
      <x:c r="C23" s="66"/>
      <x:c r="D23" s="66"/>
      <x:c r="E23" s="66"/>
      <x:c r="F23" s="66"/>
      <x:c r="G23" s="70" t="str">
        <x:f>IF(COUNTA(B23:F23)=0,"NOT STARTED",IF(OR(B23="",C23="",E23=""),"INCOMPLETE",IF(AND(D23="",F23&lt;&gt;"Hold"),"REVIEW","READY")))</x:f>
        <x:v>NOT STARTED</x:v>
      </x:c>
      <x:c r="H23" s="70" t="str">
        <x:f>IF(D23="","NOT TESTED",IF(COUNTIF($D$7:D23,D23)&gt;1,"DUPLICATE","UNIQUE"))</x:f>
        <x:v>NOT TESTED</x:v>
      </x:c>
      <x:c r="I23" s="70" t="str">
        <x:f>IF(COUNTA(B23:F23)=0,"NOT STARTED",IF(AND(B23='Answer Key'!B23,C23='Answer Key'!C23,D23='Answer Key'!D23,E23='Answer Key'!E23,F23='Answer Key'!F23),"MATCH","REVIEW"))</x:f>
        <x:v>NOT STARTED</x:v>
      </x:c>
      <x:c r="J23" s="70" t="str">
        <x:f>IF(I23="NOT STARTED","Awaiting entry",IF(I23="MATCH","PASS — checked", "Review fields against Answer Key"))</x:f>
        <x:v>Awaiting entry</x:v>
      </x:c>
    </x:row>
    <x:row r="24" ht="21" customHeight="1">
      <x:c r="A24" s="61" t="str">
        <x:v>P-018</x:v>
      </x:c>
      <x:c r="B24" s="66"/>
      <x:c r="C24" s="66"/>
      <x:c r="D24" s="66"/>
      <x:c r="E24" s="66"/>
      <x:c r="F24" s="66"/>
      <x:c r="G24" s="70" t="str">
        <x:f>IF(COUNTA(B24:F24)=0,"NOT STARTED",IF(OR(B24="",C24="",E24=""),"INCOMPLETE",IF(AND(D24="",F24&lt;&gt;"Hold"),"REVIEW","READY")))</x:f>
        <x:v>NOT STARTED</x:v>
      </x:c>
      <x:c r="H24" s="70" t="str">
        <x:f>IF(D24="","NOT TESTED",IF(COUNTIF($D$7:D24,D24)&gt;1,"DUPLICATE","UNIQUE"))</x:f>
        <x:v>NOT TESTED</x:v>
      </x:c>
      <x:c r="I24" s="70" t="str">
        <x:f>IF(COUNTA(B24:F24)=0,"NOT STARTED",IF(AND(B24='Answer Key'!B24,C24='Answer Key'!C24,D24='Answer Key'!D24,E24='Answer Key'!E24,F24='Answer Key'!F24),"MATCH","REVIEW"))</x:f>
        <x:v>NOT STARTED</x:v>
      </x:c>
      <x:c r="J24" s="70" t="str">
        <x:f>IF(I24="NOT STARTED","Awaiting entry",IF(I24="MATCH","PASS — checked", "Review fields against Answer Key"))</x:f>
        <x:v>Awaiting entry</x:v>
      </x:c>
    </x:row>
    <x:row r="25" ht="21" customHeight="1">
      <x:c r="A25" s="61" t="str">
        <x:v>P-019</x:v>
      </x:c>
      <x:c r="B25" s="66"/>
      <x:c r="C25" s="66"/>
      <x:c r="D25" s="66"/>
      <x:c r="E25" s="66"/>
      <x:c r="F25" s="66"/>
      <x:c r="G25" s="70" t="str">
        <x:f>IF(COUNTA(B25:F25)=0,"NOT STARTED",IF(OR(B25="",C25="",E25=""),"INCOMPLETE",IF(AND(D25="",F25&lt;&gt;"Hold"),"REVIEW","READY")))</x:f>
        <x:v>NOT STARTED</x:v>
      </x:c>
      <x:c r="H25" s="70" t="str">
        <x:f>IF(D25="","NOT TESTED",IF(COUNTIF($D$7:D25,D25)&gt;1,"DUPLICATE","UNIQUE"))</x:f>
        <x:v>NOT TESTED</x:v>
      </x:c>
      <x:c r="I25" s="70" t="str">
        <x:f>IF(COUNTA(B25:F25)=0,"NOT STARTED",IF(AND(B25='Answer Key'!B25,C25='Answer Key'!C25,D25='Answer Key'!D25,E25='Answer Key'!E25,F25='Answer Key'!F25),"MATCH","REVIEW"))</x:f>
        <x:v>NOT STARTED</x:v>
      </x:c>
      <x:c r="J25" s="70" t="str">
        <x:f>IF(I25="NOT STARTED","Awaiting entry",IF(I25="MATCH","PASS — checked", "Review fields against Answer Key"))</x:f>
        <x:v>Awaiting entry</x:v>
      </x:c>
    </x:row>
    <x:row r="26" ht="21" customHeight="1">
      <x:c r="A26" s="61" t="str">
        <x:v>P-020</x:v>
      </x:c>
      <x:c r="B26" s="66"/>
      <x:c r="C26" s="66"/>
      <x:c r="D26" s="66"/>
      <x:c r="E26" s="66"/>
      <x:c r="F26" s="66"/>
      <x:c r="G26" s="70" t="str">
        <x:f>IF(COUNTA(B26:F26)=0,"NOT STARTED",IF(OR(B26="",C26="",E26=""),"INCOMPLETE",IF(AND(D26="",F26&lt;&gt;"Hold"),"REVIEW","READY")))</x:f>
        <x:v>NOT STARTED</x:v>
      </x:c>
      <x:c r="H26" s="70" t="str">
        <x:f>IF(D26="","NOT TESTED",IF(COUNTIF($D$7:D26,D26)&gt;1,"DUPLICATE","UNIQUE"))</x:f>
        <x:v>NOT TESTED</x:v>
      </x:c>
      <x:c r="I26" s="70" t="str">
        <x:f>IF(COUNTA(B26:F26)=0,"NOT STARTED",IF(AND(B26='Answer Key'!B26,C26='Answer Key'!C26,D26='Answer Key'!D26,E26='Answer Key'!E26,F26='Answer Key'!F26),"MATCH","REVIEW"))</x:f>
        <x:v>NOT STARTED</x:v>
      </x:c>
      <x:c r="J26" s="70" t="str">
        <x:f>IF(I26="NOT STARTED","Awaiting entry",IF(I26="MATCH","PASS — checked", "Review fields against Answer Key"))</x:f>
        <x:v>Awaiting entry</x:v>
      </x:c>
    </x:row>
  </x:sheetData>
  <x:mergeCells>
    <x:mergeCell ref="A1:J2"/>
    <x:mergeCell ref="A3:J3"/>
    <x:mergeCell ref="A5:F5"/>
    <x:mergeCell ref="G5:J5"/>
  </x:mergeCells>
  <x:conditionalFormatting sqref="I7:I26">
    <x:cfRule type="expression" dxfId="8" priority="1">
      <x:formula>$I7="PASS"</x:formula>
    </x:cfRule>
    <x:cfRule type="expression" dxfId="9" priority="2">
      <x:formula>$I7="MATCH"</x:formula>
    </x:cfRule>
    <x:cfRule type="expression" dxfId="10" priority="3">
      <x:formula>$I7="REVIEW"</x:formula>
    </x:cfRule>
    <x:cfRule type="expression" dxfId="11" priority="4">
      <x:formula>$I7="PENDING"</x:formula>
    </x:cfRule>
  </x:conditionalFormatting>
  <x:dataValidations count="2">
    <x:dataValidation type="list" sqref="F7:F26">
      <x:formula1>"Accepted,Duplicate,Hold,Rejected"</x:formula1>
    </x:dataValidation>
    <x:dataValidation type="list" sqref="E7:E26">
      <x:formula1>"NC,SC,VA,GA,TX,TN,FL,MD,NY"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5" hidden="0" customWidth="1"/>
    <x:col min="2" max="2" width="35" hidden="0" customWidth="1"/>
    <x:col min="3" max="3" width="24" hidden="0" customWidth="1"/>
    <x:col min="4" max="4" width="43" hidden="0" customWidth="1"/>
    <x:col min="5" max="5" width="13" hidden="0" customWidth="1"/>
    <x:col min="6" max="6" width="18" hidden="0" customWidth="1"/>
  </x:cols>
  <x:sheetData>
    <x:row r="1" ht="25" customHeight="1">
      <x:c r="A1" s="4" t="str">
        <x:v>ANSWER KEY  |  TRAINING REFERENCE</x:v>
      </x:c>
      <x:c r="B1" s="4"/>
      <x:c r="C1" s="4"/>
      <x:c r="D1" s="4"/>
      <x:c r="E1" s="4"/>
      <x:c r="F1" s="4"/>
    </x:row>
    <x:row r="2" ht="25" customHeight="1">
      <x:c r="A2" s="4"/>
      <x:c r="B2" s="4"/>
      <x:c r="C2" s="4"/>
      <x:c r="D2" s="4"/>
      <x:c r="E2" s="4"/>
      <x:c r="F2" s="4"/>
    </x:row>
    <x:row r="3" ht="27" customHeight="1">
      <x:c r="A3" s="10" t="str">
        <x:v>Contains the intended responses; use only to evaluate practice after attempting the exercise</x:v>
      </x:c>
      <x:c r="B3" s="10"/>
      <x:c r="C3" s="10"/>
      <x:c r="D3" s="10"/>
      <x:c r="E3" s="10"/>
      <x:c r="F3" s="10"/>
    </x:row>
    <x:row r="6" ht="36" customHeight="1">
      <x:c r="A6" s="55" t="str">
        <x:v>Entry ID</x:v>
      </x:c>
      <x:c r="B6" s="55" t="str">
        <x:v>Clean business</x:v>
      </x:c>
      <x:c r="C6" s="55" t="str">
        <x:v>Clean contact</x:v>
      </x:c>
      <x:c r="D6" s="55" t="str">
        <x:v>Normalized email</x:v>
      </x:c>
      <x:c r="E6" s="55" t="str">
        <x:v>State</x:v>
      </x:c>
      <x:c r="F6" s="55" t="str">
        <x:v>Disposition</x:v>
      </x:c>
    </x:row>
    <x:row r="7" ht="21" customHeight="1">
      <x:c r="A7" s="84" t="str">
        <x:v>P-001</x:v>
      </x:c>
      <x:c r="B7" s="84" t="str">
        <x:v>Alpine Ridge Design</x:v>
      </x:c>
      <x:c r="C7" s="84" t="str">
        <x:v>Eva Stone</x:v>
      </x:c>
      <x:c r="D7" s="84" t="str">
        <x:v>eva.stone@alpine.example</x:v>
      </x:c>
      <x:c r="E7" s="84" t="str">
        <x:v>NC</x:v>
      </x:c>
      <x:c r="F7" s="84" t="str">
        <x:v>Accepted</x:v>
      </x:c>
    </x:row>
    <x:row r="8" ht="21" customHeight="1">
      <x:c r="A8" s="84" t="str">
        <x:v>P-002</x:v>
      </x:c>
      <x:c r="B8" s="84" t="str">
        <x:v>Brookstone Freight</x:v>
      </x:c>
      <x:c r="C8" s="84" t="str">
        <x:v>Ray Ellis</x:v>
      </x:c>
      <x:c r="D8" s="84" t="str">
        <x:v>ray.ellis@brookstone.example</x:v>
      </x:c>
      <x:c r="E8" s="84" t="str">
        <x:v>SC</x:v>
      </x:c>
      <x:c r="F8" s="84" t="str">
        <x:v>Accepted</x:v>
      </x:c>
    </x:row>
    <x:row r="9" ht="21" customHeight="1">
      <x:c r="A9" s="84" t="str">
        <x:v>P-003</x:v>
      </x:c>
      <x:c r="B9" s="84" t="str">
        <x:v>Blue Cedar Markets</x:v>
      </x:c>
      <x:c r="C9" s="84" t="str">
        <x:v>Nina Cole</x:v>
      </x:c>
      <x:c r="D9" s="84" t="str">
        <x:v>nina.cole@bluecedar.example</x:v>
      </x:c>
      <x:c r="E9" s="84" t="str">
        <x:v>VA</x:v>
      </x:c>
      <x:c r="F9" s="84" t="str">
        <x:v>Accepted</x:v>
      </x:c>
    </x:row>
    <x:row r="10" ht="21" customHeight="1">
      <x:c r="A10" s="84" t="str">
        <x:v>P-004</x:v>
      </x:c>
      <x:c r="B10" s="84" t="str">
        <x:v>Cypress Vale Health</x:v>
      </x:c>
      <x:c r="C10" s="84" t="str">
        <x:v>Omar Tran</x:v>
      </x:c>
      <x:c r="D10" s="84" t="str">
        <x:v>omar.tran@cypressvale.example</x:v>
      </x:c>
      <x:c r="E10" s="84" t="str">
        <x:v>GA</x:v>
      </x:c>
      <x:c r="F10" s="84" t="str">
        <x:v>Accepted</x:v>
      </x:c>
    </x:row>
    <x:row r="11" ht="21" customHeight="1">
      <x:c r="A11" s="84" t="str">
        <x:v>P-005</x:v>
      </x:c>
      <x:c r="B11" s="84" t="str">
        <x:v>Firefly Paper Co</x:v>
      </x:c>
      <x:c r="C11" s="84" t="str">
        <x:v>Nora Hale</x:v>
      </x:c>
      <x:c r="D11" s="84" t="str">
        <x:v>nora.hale@firefly.example</x:v>
      </x:c>
      <x:c r="E11" s="84" t="str">
        <x:v>NC</x:v>
      </x:c>
      <x:c r="F11" s="84" t="str">
        <x:v>Accepted</x:v>
      </x:c>
    </x:row>
    <x:row r="12" ht="21" customHeight="1">
      <x:c r="A12" s="84" t="str">
        <x:v>P-006</x:v>
      </x:c>
      <x:c r="B12" s="84" t="str">
        <x:v>Silver Hollow Studio</x:v>
      </x:c>
      <x:c r="C12" s="84" t="str">
        <x:v>Lia Wong</x:v>
      </x:c>
      <x:c r="D12" s="84" t="str">
        <x:v>lia.wong@silverhollow.example</x:v>
      </x:c>
      <x:c r="E12" s="84" t="str">
        <x:v>TX</x:v>
      </x:c>
      <x:c r="F12" s="84" t="str">
        <x:v>Accepted</x:v>
      </x:c>
    </x:row>
    <x:row r="13" ht="21" customHeight="1">
      <x:c r="A13" s="84" t="str">
        <x:v>P-007</x:v>
      </x:c>
      <x:c r="B13" s="84" t="str">
        <x:v>Alpine Ridge Designs</x:v>
      </x:c>
      <x:c r="C13" s="84" t="str">
        <x:v>Eva Stone</x:v>
      </x:c>
      <x:c r="D13" s="84" t="str">
        <x:v>eva.stone@alpine.example</x:v>
      </x:c>
      <x:c r="E13" s="84" t="str">
        <x:v>NC</x:v>
      </x:c>
      <x:c r="F13" s="84" t="str">
        <x:v>Duplicate</x:v>
      </x:c>
    </x:row>
    <x:row r="14" ht="21" customHeight="1">
      <x:c r="A14" s="84" t="str">
        <x:v>P-008</x:v>
      </x:c>
      <x:c r="B14" s="84" t="str">
        <x:v>Alder &amp; Finch</x:v>
      </x:c>
      <x:c r="C14" s="84" t="str">
        <x:v>Tom Bell</x:v>
      </x:c>
      <x:c r="D14" s="84" t="str">
        <x:v>tom.bell@alderfinch.example</x:v>
      </x:c>
      <x:c r="E14" s="84" t="str">
        <x:v>FL</x:v>
      </x:c>
      <x:c r="F14" s="84" t="str">
        <x:v>Accepted</x:v>
      </x:c>
    </x:row>
    <x:row r="15" ht="21" customHeight="1">
      <x:c r="A15" s="84" t="str">
        <x:v>P-009</x:v>
      </x:c>
      <x:c r="B15" s="84" t="str">
        <x:v>Eastbrook It</x:v>
      </x:c>
      <x:c r="C15" s="84" t="str">
        <x:v>Mia Foster</x:v>
      </x:c>
      <x:c r="D15" s="84" t="str">
        <x:v>mia.foster@eastbrook.example</x:v>
      </x:c>
      <x:c r="E15" s="84" t="str">
        <x:v>NC</x:v>
      </x:c>
      <x:c r="F15" s="84" t="str">
        <x:v>Accepted</x:v>
      </x:c>
    </x:row>
    <x:row r="16" ht="21" customHeight="1">
      <x:c r="A16" s="84" t="str">
        <x:v>P-010</x:v>
      </x:c>
      <x:c r="B16" s="84" t="str">
        <x:v>Riverstone Legal</x:v>
      </x:c>
      <x:c r="C16" s="84" t="str">
        <x:v>Cal Reed</x:v>
      </x:c>
      <x:c r="D16" s="84" t="str">
        <x:v>cal.reed@riverstone.example</x:v>
      </x:c>
      <x:c r="E16" s="84" t="str">
        <x:v>MD</x:v>
      </x:c>
      <x:c r="F16" s="84" t="str">
        <x:v>Accepted</x:v>
      </x:c>
    </x:row>
    <x:row r="17" ht="21" customHeight="1">
      <x:c r="A17" s="84" t="str">
        <x:v>P-011</x:v>
      </x:c>
      <x:c r="B17" s="84" t="str">
        <x:v>Dawn Harbor Logistics</x:v>
      </x:c>
      <x:c r="C17" s="84" t="str">
        <x:v>Kim Price</x:v>
      </x:c>
      <x:c r="D17" s="84" t="str">
        <x:v>kim.price@dawnharbor.example</x:v>
      </x:c>
      <x:c r="E17" s="84" t="str">
        <x:v>TN</x:v>
      </x:c>
      <x:c r="F17" s="84" t="str">
        <x:v>Accepted</x:v>
      </x:c>
    </x:row>
    <x:row r="18" ht="21" customHeight="1">
      <x:c r="A18" s="84" t="str">
        <x:v>P-012</x:v>
      </x:c>
      <x:c r="B18" s="84" t="str">
        <x:v>Lumen Supply Llc</x:v>
      </x:c>
      <x:c r="C18" s="84" t="str">
        <x:v>Sid Lee</x:v>
      </x:c>
      <x:c r="D18" s="84" t="str"/>
      <x:c r="E18" s="84" t="str">
        <x:v>NC</x:v>
      </x:c>
      <x:c r="F18" s="84" t="str">
        <x:v>Hold</x:v>
      </x:c>
    </x:row>
    <x:row r="19" ht="21" customHeight="1">
      <x:c r="A19" s="84" t="str">
        <x:v>P-013</x:v>
      </x:c>
      <x:c r="B19" s="84" t="str">
        <x:v>Maple Spring Media</x:v>
      </x:c>
      <x:c r="C19" s="84" t="str">
        <x:v>Tess Ward</x:v>
      </x:c>
      <x:c r="D19" s="84" t="str">
        <x:v>tess.ward@maplespring.example</x:v>
      </x:c>
      <x:c r="E19" s="84" t="str">
        <x:v>NY</x:v>
      </x:c>
      <x:c r="F19" s="84" t="str">
        <x:v>Accepted</x:v>
      </x:c>
    </x:row>
    <x:row r="20" ht="21" customHeight="1">
      <x:c r="A20" s="84" t="str">
        <x:v>P-014</x:v>
      </x:c>
      <x:c r="B20" s="84" t="str">
        <x:v>North Harbor Dental</x:v>
      </x:c>
      <x:c r="C20" s="84" t="str">
        <x:v>Ana Cruz</x:v>
      </x:c>
      <x:c r="D20" s="84" t="str">
        <x:v>ana.cruz@northharbor.example</x:v>
      </x:c>
      <x:c r="E20" s="84" t="str">
        <x:v>SC</x:v>
      </x:c>
      <x:c r="F20" s="84" t="str">
        <x:v>Accepted</x:v>
      </x:c>
    </x:row>
    <x:row r="21" ht="21" customHeight="1">
      <x:c r="A21" s="84" t="str">
        <x:v>P-015</x:v>
      </x:c>
      <x:c r="B21" s="84" t="str">
        <x:v>Silver Hollow Studios</x:v>
      </x:c>
      <x:c r="C21" s="84" t="str">
        <x:v>Lia Wong</x:v>
      </x:c>
      <x:c r="D21" s="84" t="str">
        <x:v>lia.wong@silverhollow.example</x:v>
      </x:c>
      <x:c r="E21" s="84" t="str">
        <x:v>TX</x:v>
      </x:c>
      <x:c r="F21" s="84" t="str">
        <x:v>Duplicate</x:v>
      </x:c>
    </x:row>
    <x:row r="22" ht="21" customHeight="1">
      <x:c r="A22" s="84" t="str">
        <x:v>P-016</x:v>
      </x:c>
      <x:c r="B22" s="84" t="str">
        <x:v>Birch Lake Realty</x:v>
      </x:c>
      <x:c r="C22" s="84" t="str">
        <x:v>Jon Park</x:v>
      </x:c>
      <x:c r="D22" s="84" t="str">
        <x:v>jon.park@birchlake.example</x:v>
      </x:c>
      <x:c r="E22" s="84" t="str">
        <x:v>GA</x:v>
      </x:c>
      <x:c r="F22" s="84" t="str">
        <x:v>Accepted</x:v>
      </x:c>
    </x:row>
    <x:row r="23" ht="21" customHeight="1">
      <x:c r="A23" s="84" t="str">
        <x:v>P-017</x:v>
      </x:c>
      <x:c r="B23" s="84" t="str">
        <x:v>Summit Trade Systems</x:v>
      </x:c>
      <x:c r="C23" s="84" t="str">
        <x:v>Isla Fox</x:v>
      </x:c>
      <x:c r="D23" s="84" t="str">
        <x:v>isla.fox@summittrade.example</x:v>
      </x:c>
      <x:c r="E23" s="84" t="str">
        <x:v>NC</x:v>
      </x:c>
      <x:c r="F23" s="84" t="str">
        <x:v>Accepted</x:v>
      </x:c>
    </x:row>
    <x:row r="24" ht="21" customHeight="1">
      <x:c r="A24" s="84" t="str">
        <x:v>P-018</x:v>
      </x:c>
      <x:c r="B24" s="84" t="str">
        <x:v>Westland Advisory</x:v>
      </x:c>
      <x:c r="C24" s="84" t="str">
        <x:v>Ari Hunt</x:v>
      </x:c>
      <x:c r="D24" s="84" t="str">
        <x:v>ari.hunt@westland.example</x:v>
      </x:c>
      <x:c r="E24" s="84" t="str">
        <x:v>VA</x:v>
      </x:c>
      <x:c r="F24" s="84" t="str">
        <x:v>Accepted</x:v>
      </x:c>
    </x:row>
    <x:row r="25" ht="21" customHeight="1">
      <x:c r="A25" s="84" t="str">
        <x:v>P-019</x:v>
      </x:c>
      <x:c r="B25" s="84" t="str">
        <x:v>Tidal Grove Co</x:v>
      </x:c>
      <x:c r="C25" s="84" t="str">
        <x:v>Jules Day</x:v>
      </x:c>
      <x:c r="D25" s="84" t="str"/>
      <x:c r="E25" s="84" t="str">
        <x:v>FL</x:v>
      </x:c>
      <x:c r="F25" s="84" t="str">
        <x:v>Hold</x:v>
      </x:c>
    </x:row>
    <x:row r="26" ht="21" customHeight="1">
      <x:c r="A26" s="84" t="str">
        <x:v>P-020</x:v>
      </x:c>
      <x:c r="B26" s="84" t="str">
        <x:v>Cobalt Route Group</x:v>
      </x:c>
      <x:c r="C26" s="84" t="str">
        <x:v>Dana West</x:v>
      </x:c>
      <x:c r="D26" s="84" t="str">
        <x:v>dana.west@cobaltroute.example</x:v>
      </x:c>
      <x:c r="E26" s="84" t="str">
        <x:v>NC</x:v>
      </x:c>
      <x:c r="F26" s="84" t="str">
        <x:v>Accepted</x:v>
      </x:c>
    </x:row>
  </x:sheetData>
  <x:mergeCells>
    <x:mergeCell ref="A1:F2"/>
    <x:mergeCell ref="A3:F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23" hidden="0" customWidth="1"/>
    <x:col min="4" max="4" width="43" hidden="0" customWidth="1"/>
    <x:col min="5" max="5" width="17" hidden="0" customWidth="1"/>
    <x:col min="6" max="6" width="22" hidden="0" customWidth="1"/>
    <x:col min="7" max="7" width="17" hidden="0" customWidth="1"/>
    <x:col min="8" max="8" width="24" hidden="0" customWidth="1"/>
  </x:cols>
  <x:sheetData>
    <x:row r="1" ht="25" customHeight="1">
      <x:c r="A1" s="4" t="str">
        <x:v>LOOKUPS  |  CONTROLLED VOCABULARY</x:v>
      </x:c>
      <x:c r="B1" s="4"/>
      <x:c r="C1" s="4"/>
      <x:c r="D1" s="4"/>
      <x:c r="E1" s="4"/>
      <x:c r="F1" s="4"/>
      <x:c r="G1" s="4"/>
      <x:c r="H1" s="4"/>
    </x:row>
    <x:row r="2" ht="25" customHeight="1">
      <x:c r="A2" s="4"/>
      <x:c r="B2" s="4"/>
      <x:c r="C2" s="4"/>
      <x:c r="D2" s="4"/>
      <x:c r="E2" s="4"/>
      <x:c r="F2" s="4"/>
      <x:c r="G2" s="4"/>
      <x:c r="H2" s="4"/>
    </x:row>
    <x:row r="3" ht="27" customHeight="1">
      <x:c r="A3" s="10" t="str">
        <x:v>Review classifications, data quality rules, approved state codes, and reviewer responsibilities</x:v>
      </x:c>
      <x:c r="B3" s="10"/>
      <x:c r="C3" s="10"/>
      <x:c r="D3" s="10"/>
      <x:c r="E3" s="10"/>
      <x:c r="F3" s="10"/>
      <x:c r="G3" s="10"/>
      <x:c r="H3" s="10"/>
    </x:row>
    <x:row r="6" ht="36" customHeight="1">
      <x:c r="A6" s="55" t="str">
        <x:v>Review decision</x:v>
      </x:c>
      <x:c r="B6" s="55" t="str">
        <x:v>Meaning</x:v>
      </x:c>
      <x:c r="C6" s="55" t="str">
        <x:v>Required email?</x:v>
      </x:c>
      <x:c r="D6" s="55" t="str">
        <x:v>Expected master action</x:v>
      </x:c>
      <x:c r="E6" s="55" t="str">
        <x:v>State code</x:v>
      </x:c>
      <x:c r="F6" s="55" t="str">
        <x:v>Example use</x:v>
      </x:c>
      <x:c r="G6" s="55" t="str">
        <x:v>Priority</x:v>
      </x:c>
      <x:c r="H6" s="55" t="str">
        <x:v>Owner</x:v>
      </x:c>
    </x:row>
    <x:row r="7" ht="21" customHeight="1">
      <x:c r="A7" s="61" t="str">
        <x:v>Accepted</x:v>
      </x:c>
      <x:c r="B7" s="61" t="str">
        <x:v>Complete, unique intake with identity verified</x:v>
      </x:c>
      <x:c r="C7" s="61" t="str">
        <x:v>Yes</x:v>
      </x:c>
      <x:c r="D7" s="61" t="str">
        <x:v>Create approved record</x:v>
      </x:c>
      <x:c r="E7" s="61" t="str">
        <x:v>NC</x:v>
      </x:c>
      <x:c r="F7" s="61" t="str">
        <x:v>North Carolina</x:v>
      </x:c>
      <x:c r="G7" s="61" t="str">
        <x:v>Normal</x:v>
      </x:c>
      <x:c r="H7" s="61" t="str">
        <x:v>Intake reviewer</x:v>
      </x:c>
    </x:row>
    <x:row r="8" ht="21" customHeight="1">
      <x:c r="A8" s="61" t="str">
        <x:v>Duplicate</x:v>
      </x:c>
      <x:c r="B8" s="61" t="str">
        <x:v>Same verified identity already present</x:v>
      </x:c>
      <x:c r="C8" s="61" t="str">
        <x:v>Yes</x:v>
      </x:c>
      <x:c r="D8" s="61" t="str">
        <x:v>Exclude / link to canonical</x:v>
      </x:c>
      <x:c r="E8" s="61" t="str">
        <x:v>SC</x:v>
      </x:c>
      <x:c r="F8" s="61" t="str">
        <x:v>South Carolina</x:v>
      </x:c>
      <x:c r="G8" s="61" t="str">
        <x:v>High</x:v>
      </x:c>
      <x:c r="H8" s="61" t="str">
        <x:v>QA reviewer</x:v>
      </x:c>
    </x:row>
    <x:row r="9" ht="21" customHeight="1">
      <x:c r="A9" s="61" t="str">
        <x:v>Hold</x:v>
      </x:c>
      <x:c r="B9" s="61" t="str">
        <x:v>Required information missing or uncertain</x:v>
      </x:c>
      <x:c r="C9" s="61" t="str">
        <x:v>No</x:v>
      </x:c>
      <x:c r="D9" s="61" t="str">
        <x:v>Request evidence; no master</x:v>
      </x:c>
      <x:c r="E9" s="61" t="str">
        <x:v>VA</x:v>
      </x:c>
      <x:c r="F9" s="61" t="str">
        <x:v>Virginia</x:v>
      </x:c>
      <x:c r="G9" s="61" t="str">
        <x:v>High</x:v>
      </x:c>
      <x:c r="H9" s="61" t="str">
        <x:v>Data steward</x:v>
      </x:c>
    </x:row>
    <x:row r="10" ht="21" customHeight="1">
      <x:c r="A10" s="61" t="str">
        <x:v>Rejected</x:v>
      </x:c>
      <x:c r="B10" s="61" t="str">
        <x:v>Invalid after documented review</x:v>
      </x:c>
      <x:c r="C10" s="61" t="str">
        <x:v>N/A</x:v>
      </x:c>
      <x:c r="D10" s="61" t="str">
        <x:v>Do not create master</x:v>
      </x:c>
      <x:c r="E10" s="61" t="str">
        <x:v>GA</x:v>
      </x:c>
      <x:c r="F10" s="61" t="str">
        <x:v>Georgia</x:v>
      </x:c>
      <x:c r="G10" s="61" t="str">
        <x:v>Escalate</x:v>
      </x:c>
      <x:c r="H10" s="61" t="str">
        <x:v>Supervisor</x:v>
      </x:c>
    </x:row>
    <x:row r="11" ht="21" customHeight="1">
      <x:c r="A11" s="61" t="str"/>
      <x:c r="B11" s="61" t="str"/>
      <x:c r="C11" s="61" t="str"/>
      <x:c r="D11" s="61" t="str"/>
      <x:c r="E11" s="61" t="str">
        <x:v>TX</x:v>
      </x:c>
      <x:c r="F11" s="61" t="str">
        <x:v>Texas</x:v>
      </x:c>
      <x:c r="G11" s="61" t="str"/>
      <x:c r="H11" s="61" t="str"/>
    </x:row>
    <x:row r="12" ht="21" customHeight="1">
      <x:c r="A12" s="61" t="str"/>
      <x:c r="B12" s="61" t="str"/>
      <x:c r="C12" s="61" t="str"/>
      <x:c r="D12" s="61" t="str"/>
      <x:c r="E12" s="61" t="str">
        <x:v>TN</x:v>
      </x:c>
      <x:c r="F12" s="61" t="str">
        <x:v>Tennessee</x:v>
      </x:c>
      <x:c r="G12" s="61" t="str"/>
      <x:c r="H12" s="61" t="str"/>
    </x:row>
    <x:row r="13" ht="21" customHeight="1">
      <x:c r="A13" s="61" t="str"/>
      <x:c r="B13" s="61" t="str"/>
      <x:c r="C13" s="61" t="str"/>
      <x:c r="D13" s="61" t="str"/>
      <x:c r="E13" s="61" t="str">
        <x:v>FL</x:v>
      </x:c>
      <x:c r="F13" s="61" t="str">
        <x:v>Florida</x:v>
      </x:c>
      <x:c r="G13" s="61" t="str"/>
      <x:c r="H13" s="61" t="str"/>
    </x:row>
    <x:row r="14" ht="21" customHeight="1">
      <x:c r="A14" s="61" t="str"/>
      <x:c r="B14" s="61" t="str"/>
      <x:c r="C14" s="61" t="str"/>
      <x:c r="D14" s="61" t="str"/>
      <x:c r="E14" s="61" t="str">
        <x:v>MD</x:v>
      </x:c>
      <x:c r="F14" s="61" t="str">
        <x:v>Maryland</x:v>
      </x:c>
      <x:c r="G14" s="61" t="str"/>
      <x:c r="H14" s="61" t="str"/>
    </x:row>
    <x:row r="15" ht="21" customHeight="1">
      <x:c r="A15" s="61" t="str"/>
      <x:c r="B15" s="61" t="str"/>
      <x:c r="C15" s="61" t="str"/>
      <x:c r="D15" s="61" t="str"/>
      <x:c r="E15" s="61" t="str">
        <x:v>NY</x:v>
      </x:c>
      <x:c r="F15" s="61" t="str">
        <x:v>New York</x:v>
      </x:c>
      <x:c r="G15" s="61" t="str"/>
      <x:c r="H15" s="61" t="str"/>
    </x:row>
    <x:row r="16" ht="21" customHeight="1">
      <x:c r="A16" s="61"/>
      <x:c r="B16" s="61"/>
      <x:c r="C16" s="61"/>
      <x:c r="D16" s="61"/>
      <x:c r="E16" s="61"/>
      <x:c r="F16" s="61"/>
      <x:c r="G16" s="61"/>
      <x:c r="H16" s="61"/>
    </x:row>
    <x:row r="17" ht="21" customHeight="1">
      <x:c r="A17" s="61"/>
      <x:c r="B17" s="61"/>
      <x:c r="C17" s="61"/>
      <x:c r="D17" s="61"/>
      <x:c r="E17" s="61"/>
      <x:c r="F17" s="61"/>
      <x:c r="G17" s="61"/>
      <x:c r="H17" s="61"/>
    </x:row>
    <x:row r="18" ht="29" customHeight="1">
      <x:c r="A18" s="16" t="str">
        <x:v>STANDARDIZATION RULES</x:v>
      </x:c>
      <x:c r="B18" s="16"/>
      <x:c r="C18" s="16"/>
      <x:c r="D18" s="16"/>
      <x:c r="E18" s="16"/>
      <x:c r="F18" s="16"/>
      <x:c r="G18" s="16"/>
      <x:c r="H18" s="16"/>
    </x:row>
    <x:row r="19" ht="21" customHeight="1">
      <x:c r="A19" s="61"/>
      <x:c r="B19" s="61"/>
      <x:c r="C19" s="61"/>
      <x:c r="D19" s="61"/>
      <x:c r="E19" s="61"/>
      <x:c r="F19" s="61"/>
      <x:c r="G19" s="61"/>
      <x:c r="H19" s="61"/>
    </x:row>
    <x:row r="20" ht="31" customHeight="1">
      <x:c r="A20" s="88" t="str">
        <x:v>Name: trim leading/trailing spaces, collapse doubled spaces, and apply standardized title case; preserve legally verified spelling.</x:v>
      </x:c>
      <x:c r="B20" s="88"/>
      <x:c r="C20" s="88"/>
      <x:c r="D20" s="88"/>
      <x:c r="E20" s="88"/>
      <x:c r="F20" s="88"/>
      <x:c r="G20" s="88"/>
      <x:c r="H20" s="88"/>
    </x:row>
    <x:row r="21" ht="21" customHeight="1">
      <x:c r="A21" s="82"/>
      <x:c r="B21" s="82"/>
      <x:c r="C21" s="82"/>
      <x:c r="D21" s="82"/>
      <x:c r="E21" s="82"/>
      <x:c r="F21" s="82"/>
      <x:c r="G21" s="82"/>
      <x:c r="H21" s="82"/>
    </x:row>
    <x:row r="22" ht="31" customHeight="1">
      <x:c r="A22" s="88" t="str">
        <x:v>Email: trim whitespace and lowercase only for this training; verify actual domain before use.</x:v>
      </x:c>
      <x:c r="B22" s="88"/>
      <x:c r="C22" s="88"/>
      <x:c r="D22" s="88"/>
      <x:c r="E22" s="88"/>
      <x:c r="F22" s="88"/>
      <x:c r="G22" s="88"/>
      <x:c r="H22" s="88"/>
    </x:row>
    <x:row r="23">
      <x:c r="A23" s="89"/>
      <x:c r="B23" s="89"/>
      <x:c r="C23" s="89"/>
      <x:c r="D23" s="89"/>
      <x:c r="E23" s="89"/>
      <x:c r="F23" s="89"/>
      <x:c r="G23" s="89"/>
      <x:c r="H23" s="89"/>
    </x:row>
    <x:row r="24" ht="31" customHeight="1">
      <x:c r="A24" s="88" t="str">
        <x:v>Duplicate: email-only matches are screening flags; do not merge identities without reviewer evidence.</x:v>
      </x:c>
      <x:c r="B24" s="88"/>
      <x:c r="C24" s="88"/>
      <x:c r="D24" s="88"/>
      <x:c r="E24" s="88"/>
      <x:c r="F24" s="88"/>
      <x:c r="G24" s="88"/>
      <x:c r="H24" s="88"/>
    </x:row>
    <x:row r="25">
      <x:c r="A25" s="89"/>
      <x:c r="B25" s="89"/>
      <x:c r="C25" s="89"/>
      <x:c r="D25" s="89"/>
      <x:c r="E25" s="89"/>
      <x:c r="F25" s="89"/>
      <x:c r="G25" s="89"/>
      <x:c r="H25" s="89"/>
    </x:row>
    <x:row r="26" ht="31" customHeight="1">
      <x:c r="A26" s="88" t="str">
        <x:v>Approval: final status is manually reviewed; red QA alerts indicate disagreement with screen recommendation.</x:v>
      </x:c>
      <x:c r="B26" s="88"/>
      <x:c r="C26" s="88"/>
      <x:c r="D26" s="88"/>
      <x:c r="E26" s="88"/>
      <x:c r="F26" s="88"/>
      <x:c r="G26" s="88"/>
      <x:c r="H26" s="88"/>
    </x:row>
    <x:row r="27">
      <x:c r="A27" s="89"/>
      <x:c r="B27" s="89"/>
      <x:c r="C27" s="89"/>
      <x:c r="D27" s="89"/>
      <x:c r="E27" s="89"/>
      <x:c r="F27" s="89"/>
      <x:c r="G27" s="89"/>
      <x:c r="H27" s="89"/>
    </x:row>
    <x:row r="28" ht="31" customHeight="1">
      <x:c r="A28" s="88" t="str">
        <x:v>Confidentiality: use fictional values and never store real account credentials or regulated personal data.</x:v>
      </x:c>
      <x:c r="B28" s="88"/>
      <x:c r="C28" s="88"/>
      <x:c r="D28" s="88"/>
      <x:c r="E28" s="88"/>
      <x:c r="F28" s="88"/>
      <x:c r="G28" s="88"/>
      <x:c r="H28" s="88"/>
    </x:row>
  </x:sheetData>
  <x:mergeCells>
    <x:mergeCell ref="A1:H2"/>
    <x:mergeCell ref="A3:H3"/>
    <x:mergeCell ref="A18:H18"/>
    <x:mergeCell ref="A20:H20"/>
    <x:mergeCell ref="A22:H22"/>
    <x:mergeCell ref="A24:H24"/>
    <x:mergeCell ref="A26:H26"/>
    <x:mergeCell ref="A28:H28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15" hidden="0" customWidth="1"/>
    <x:col min="2" max="2" width="32" hidden="0" customWidth="1"/>
    <x:col min="3" max="3" width="22" hidden="0" customWidth="1"/>
    <x:col min="4" max="4" width="37" hidden="0" customWidth="1"/>
    <x:col min="5" max="5" width="17" hidden="0" customWidth="1"/>
    <x:col min="6" max="6" width="17" hidden="0" customWidth="1"/>
    <x:col min="7" max="7" width="17" hidden="0" customWidth="1"/>
    <x:col min="8" max="8" width="3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3" customHeight="1">
      <x:c r="A1" s="124" t="str">
        <x:v>EXPANDED CUSTOMER INTAKE  |  120 SOURCE RECORDS</x:v>
      </x:c>
      <x:c r="B1" s="124"/>
      <x:c r="C1" s="124"/>
      <x:c r="D1" s="124"/>
      <x:c r="E1" s="124"/>
      <x:c r="F1" s="124"/>
      <x:c r="G1" s="124"/>
      <x:c r="H1" s="124"/>
      <x:c r="I1" s="124"/>
      <x:c r="J1" s="124"/>
      <x:c r="K1" s="124"/>
      <x:c r="L1" s="124"/>
    </x:row>
    <x:row r="2" ht="23" customHeight="1">
      <x:c r="A2" s="124"/>
      <x:c r="B2" s="124"/>
      <x:c r="C2" s="124"/>
      <x:c r="D2" s="124"/>
      <x:c r="E2" s="124"/>
      <x:c r="F2" s="124"/>
      <x:c r="G2" s="124"/>
      <x:c r="H2" s="124"/>
      <x:c r="I2" s="124"/>
      <x:c r="J2" s="124"/>
      <x:c r="K2" s="124"/>
      <x:c r="L2" s="124"/>
    </x:row>
    <x:row r="3">
      <x:c r="A3" t="str">
        <x:v>Synthetic training data • Raw fields in columns A:G • H:K formula-driven checks • Edit raw data to see decisions recalculate</x:v>
      </x:c>
    </x:row>
    <x:row r="5" ht="29" customHeight="1">
      <x:c r="A5" s="127" t="str">
        <x:v>Source ID</x:v>
      </x:c>
      <x:c r="B5" s="127" t="str">
        <x:v>Organization raw</x:v>
      </x:c>
      <x:c r="C5" s="127" t="str">
        <x:v>Contact raw</x:v>
      </x:c>
      <x:c r="D5" s="127" t="str">
        <x:v>Email raw</x:v>
      </x:c>
      <x:c r="E5" s="127" t="str">
        <x:v>State</x:v>
      </x:c>
      <x:c r="F5" s="127" t="str">
        <x:v>Submission date</x:v>
      </x:c>
      <x:c r="G5" s="127" t="str">
        <x:v>Channel</x:v>
      </x:c>
      <x:c r="H5" s="127" t="str">
        <x:v>Normalized email</x:v>
      </x:c>
      <x:c r="I5" s="127" t="str">
        <x:v>Valid email?</x:v>
      </x:c>
      <x:c r="J5" s="127" t="str">
        <x:v>Prior email count</x:v>
      </x:c>
      <x:c r="K5" s="127" t="str">
        <x:v>Decision</x:v>
      </x:c>
      <x:c r="L5" s="127" t="str">
        <x:v>Approved flag</x:v>
      </x:c>
    </x:row>
    <x:row r="6" ht="19" customHeight="1">
      <x:c r="A6" t="str">
        <x:v>B-001</x:v>
      </x:c>
      <x:c r="B6" t="str">
        <x:v>Northfield Consulting 001</x:v>
      </x:c>
      <x:c r="C6" t="str">
        <x:v>Ari Morgan</x:v>
      </x:c>
      <x:c r="D6" t="str">
        <x:v>account001@portfolio.example</x:v>
      </x:c>
      <x:c r="E6" t="str">
        <x:v>NC</x:v>
      </x:c>
      <x:c r="F6" t="str">
        <x:v>2026-10-01</x:v>
      </x:c>
      <x:c r="G6" t="str">
        <x:v>web_form</x:v>
      </x:c>
      <x:c r="H6" t="str">
        <x:f>LOWER(TRIM(D6))</x:f>
        <x:v>account001@portfolio.example</x:v>
      </x:c>
      <x:c r="I6" t="str">
        <x:f>IF(AND(LEN(H6)&gt;3,ISNUMBER(SEARCH("@",H6)),ISNUMBER(SEARCH(".",H6))),"YES","NO")</x:f>
        <x:v>YES</x:v>
      </x:c>
      <x:c r="J6" t="n">
        <x:f>IF(H6="",0,COUNTIF($H$6:H6,H6))</x:f>
        <x:v>1</x:v>
      </x:c>
      <x:c r="K6" t="str">
        <x:f>IF(I6="NO","HOLD",IF(J6&gt;1,"DUPLICATE","APPROVED"))</x:f>
        <x:v>APPROVED</x:v>
      </x:c>
      <x:c r="L6" t="n">
        <x:f>IF(K6="APPROVED",1,0)</x:f>
        <x:v>1</x:v>
      </x:c>
    </x:row>
    <x:row r="7" ht="19" customHeight="1">
      <x:c r="A7" t="str">
        <x:v>B-002</x:v>
      </x:c>
      <x:c r="B7" t="str">
        <x:v>Cedarwood Consulting 002</x:v>
      </x:c>
      <x:c r="C7" t="str">
        <x:v>Dana Lee</x:v>
      </x:c>
      <x:c r="D7" t="str">
        <x:v>account002@portfolio.example</x:v>
      </x:c>
      <x:c r="E7" t="str">
        <x:v>SC</x:v>
      </x:c>
      <x:c r="F7" t="str">
        <x:v>2026-10-02</x:v>
      </x:c>
      <x:c r="G7" t="str">
        <x:v>web_form</x:v>
      </x:c>
      <x:c r="H7" t="str">
        <x:f>LOWER(TRIM(D7))</x:f>
        <x:v>account002@portfolio.example</x:v>
      </x:c>
      <x:c r="I7" t="str">
        <x:f>IF(AND(LEN(H7)&gt;3,ISNUMBER(SEARCH("@",H7)),ISNUMBER(SEARCH(".",H7))),"YES","NO")</x:f>
        <x:v>YES</x:v>
      </x:c>
      <x:c r="J7" t="n">
        <x:f>IF(H7="",0,COUNTIF($H$6:H7,H7))</x:f>
        <x:v>1</x:v>
      </x:c>
      <x:c r="K7" t="str">
        <x:f>IF(I7="NO","HOLD",IF(J7&gt;1,"DUPLICATE","APPROVED"))</x:f>
        <x:v>APPROVED</x:v>
      </x:c>
      <x:c r="L7" t="n">
        <x:f>IF(K7="APPROVED",1,0)</x:f>
        <x:v>1</x:v>
      </x:c>
    </x:row>
    <x:row r="8" ht="19" customHeight="1">
      <x:c r="A8" t="str">
        <x:v>B-003</x:v>
      </x:c>
      <x:c r="B8" t="str">
        <x:v>Brookline Consulting 003</x:v>
      </x:c>
      <x:c r="C8" t="str">
        <x:v>Mica Parker</x:v>
      </x:c>
      <x:c r="D8" t="str">
        <x:v>account003@portfolio.example</x:v>
      </x:c>
      <x:c r="E8" t="str">
        <x:v>VA</x:v>
      </x:c>
      <x:c r="F8" t="str">
        <x:v>2026-10-03</x:v>
      </x:c>
      <x:c r="G8" t="str">
        <x:v>web_form</x:v>
      </x:c>
      <x:c r="H8" t="str">
        <x:f>LOWER(TRIM(D8))</x:f>
        <x:v>account003@portfolio.example</x:v>
      </x:c>
      <x:c r="I8" t="str">
        <x:f>IF(AND(LEN(H8)&gt;3,ISNUMBER(SEARCH("@",H8)),ISNUMBER(SEARCH(".",H8))),"YES","NO")</x:f>
        <x:v>YES</x:v>
      </x:c>
      <x:c r="J8" t="n">
        <x:f>IF(H8="",0,COUNTIF($H$6:H8,H8))</x:f>
        <x:v>1</x:v>
      </x:c>
      <x:c r="K8" t="str">
        <x:f>IF(I8="NO","HOLD",IF(J8&gt;1,"DUPLICATE","APPROVED"))</x:f>
        <x:v>APPROVED</x:v>
      </x:c>
      <x:c r="L8" t="n">
        <x:f>IF(K8="APPROVED",1,0)</x:f>
        <x:v>1</x:v>
      </x:c>
    </x:row>
    <x:row r="9" ht="19" customHeight="1">
      <x:c r="A9" t="str">
        <x:v>B-004</x:v>
      </x:c>
      <x:c r="B9" t="str">
        <x:v>Sable Consulting 004</x:v>
      </x:c>
      <x:c r="C9" t="str">
        <x:v>Noel West</x:v>
      </x:c>
      <x:c r="D9" t="str">
        <x:v>account004@portfolio.example</x:v>
      </x:c>
      <x:c r="E9" t="str">
        <x:v>GA</x:v>
      </x:c>
      <x:c r="F9" t="str">
        <x:v>2026-10-04</x:v>
      </x:c>
      <x:c r="G9" t="str">
        <x:v>web_form</x:v>
      </x:c>
      <x:c r="H9" t="str">
        <x:f>LOWER(TRIM(D9))</x:f>
        <x:v>account004@portfolio.example</x:v>
      </x:c>
      <x:c r="I9" t="str">
        <x:f>IF(AND(LEN(H9)&gt;3,ISNUMBER(SEARCH("@",H9)),ISNUMBER(SEARCH(".",H9))),"YES","NO")</x:f>
        <x:v>YES</x:v>
      </x:c>
      <x:c r="J9" t="n">
        <x:f>IF(H9="",0,COUNTIF($H$6:H9,H9))</x:f>
        <x:v>1</x:v>
      </x:c>
      <x:c r="K9" t="str">
        <x:f>IF(I9="NO","HOLD",IF(J9&gt;1,"DUPLICATE","APPROVED"))</x:f>
        <x:v>APPROVED</x:v>
      </x:c>
      <x:c r="L9" t="n">
        <x:f>IF(K9="APPROVED",1,0)</x:f>
        <x:v>1</x:v>
      </x:c>
    </x:row>
    <x:row r="10" ht="19" customHeight="1">
      <x:c r="A10" t="str">
        <x:v>B-005</x:v>
      </x:c>
      <x:c r="B10" t="str">
        <x:v>Everview Consulting 005</x:v>
      </x:c>
      <x:c r="C10" t="str">
        <x:v>Jules Reed</x:v>
      </x:c>
      <x:c r="D10" t="str">
        <x:v>account005@portfolio.example</x:v>
      </x:c>
      <x:c r="E10" t="str">
        <x:v>FL</x:v>
      </x:c>
      <x:c r="F10" t="str">
        <x:v>2026-10-05</x:v>
      </x:c>
      <x:c r="G10" t="str">
        <x:v>web_form</x:v>
      </x:c>
      <x:c r="H10" t="str">
        <x:f>LOWER(TRIM(D10))</x:f>
        <x:v>account005@portfolio.example</x:v>
      </x:c>
      <x:c r="I10" t="str">
        <x:f>IF(AND(LEN(H10)&gt;3,ISNUMBER(SEARCH("@",H10)),ISNUMBER(SEARCH(".",H10))),"YES","NO")</x:f>
        <x:v>YES</x:v>
      </x:c>
      <x:c r="J10" t="n">
        <x:f>IF(H10="",0,COUNTIF($H$6:H10,H10))</x:f>
        <x:v>1</x:v>
      </x:c>
      <x:c r="K10" t="str">
        <x:f>IF(I10="NO","HOLD",IF(J10&gt;1,"DUPLICATE","APPROVED"))</x:f>
        <x:v>APPROVED</x:v>
      </x:c>
      <x:c r="L10" t="n">
        <x:f>IF(K10="APPROVED",1,0)</x:f>
        <x:v>1</x:v>
      </x:c>
    </x:row>
    <x:row r="11" ht="19" customHeight="1">
      <x:c r="A11" t="str">
        <x:v>B-006</x:v>
      </x:c>
      <x:c r="B11" t="str">
        <x:v>Frostline Consulting 006</x:v>
      </x:c>
      <x:c r="C11" t="str">
        <x:v>Taylor Patel</x:v>
      </x:c>
      <x:c r="D11" t="str">
        <x:v>account006@portfolio.example</x:v>
      </x:c>
      <x:c r="E11" t="str">
        <x:v>TN</x:v>
      </x:c>
      <x:c r="F11" t="str">
        <x:v>2026-10-06</x:v>
      </x:c>
      <x:c r="G11" t="str">
        <x:v>web_form</x:v>
      </x:c>
      <x:c r="H11" t="str">
        <x:f>LOWER(TRIM(D11))</x:f>
        <x:v>account006@portfolio.example</x:v>
      </x:c>
      <x:c r="I11" t="str">
        <x:f>IF(AND(LEN(H11)&gt;3,ISNUMBER(SEARCH("@",H11)),ISNUMBER(SEARCH(".",H11))),"YES","NO")</x:f>
        <x:v>YES</x:v>
      </x:c>
      <x:c r="J11" t="n">
        <x:f>IF(H11="",0,COUNTIF($H$6:H11,H11))</x:f>
        <x:v>1</x:v>
      </x:c>
      <x:c r="K11" t="str">
        <x:f>IF(I11="NO","HOLD",IF(J11&gt;1,"DUPLICATE","APPROVED"))</x:f>
        <x:v>APPROVED</x:v>
      </x:c>
      <x:c r="L11" t="n">
        <x:f>IF(K11="APPROVED",1,0)</x:f>
        <x:v>1</x:v>
      </x:c>
    </x:row>
    <x:row r="12" ht="19" customHeight="1">
      <x:c r="A12" t="str">
        <x:v>B-007</x:v>
      </x:c>
      <x:c r="B12" t="str">
        <x:v>Summit Consulting 007</x:v>
      </x:c>
      <x:c r="C12" t="str">
        <x:v>Remy Ford</x:v>
      </x:c>
      <x:c r="D12" t="str">
        <x:v>account007@portfolio.example</x:v>
      </x:c>
      <x:c r="E12" t="str">
        <x:v>TX</x:v>
      </x:c>
      <x:c r="F12" t="str">
        <x:v>2026-10-07</x:v>
      </x:c>
      <x:c r="G12" t="str">
        <x:v>web_form</x:v>
      </x:c>
      <x:c r="H12" t="str">
        <x:f>LOWER(TRIM(D12))</x:f>
        <x:v>account007@portfolio.example</x:v>
      </x:c>
      <x:c r="I12" t="str">
        <x:f>IF(AND(LEN(H12)&gt;3,ISNUMBER(SEARCH("@",H12)),ISNUMBER(SEARCH(".",H12))),"YES","NO")</x:f>
        <x:v>YES</x:v>
      </x:c>
      <x:c r="J12" t="n">
        <x:f>IF(H12="",0,COUNTIF($H$6:H12,H12))</x:f>
        <x:v>1</x:v>
      </x:c>
      <x:c r="K12" t="str">
        <x:f>IF(I12="NO","HOLD",IF(J12&gt;1,"DUPLICATE","APPROVED"))</x:f>
        <x:v>APPROVED</x:v>
      </x:c>
      <x:c r="L12" t="n">
        <x:f>IF(K12="APPROVED",1,0)</x:f>
        <x:v>1</x:v>
      </x:c>
    </x:row>
    <x:row r="13" ht="19" customHeight="1">
      <x:c r="A13" t="str">
        <x:v>B-008</x:v>
      </x:c>
      <x:c r="B13" t="str">
        <x:v>Pinefield Consulting 008</x:v>
      </x:c>
      <x:c r="C13" t="str">
        <x:v>Morgan Morgan</x:v>
      </x:c>
      <x:c r="D13" t="str">
        <x:v>account008@portfolio.example</x:v>
      </x:c>
      <x:c r="E13" t="str">
        <x:v>MD</x:v>
      </x:c>
      <x:c r="F13" t="str">
        <x:v>2026-10-08</x:v>
      </x:c>
      <x:c r="G13" t="str">
        <x:v>web_form</x:v>
      </x:c>
      <x:c r="H13" t="str">
        <x:f>LOWER(TRIM(D13))</x:f>
        <x:v>account008@portfolio.example</x:v>
      </x:c>
      <x:c r="I13" t="str">
        <x:f>IF(AND(LEN(H13)&gt;3,ISNUMBER(SEARCH("@",H13)),ISNUMBER(SEARCH(".",H13))),"YES","NO")</x:f>
        <x:v>YES</x:v>
      </x:c>
      <x:c r="J13" t="n">
        <x:f>IF(H13="",0,COUNTIF($H$6:H13,H13))</x:f>
        <x:v>1</x:v>
      </x:c>
      <x:c r="K13" t="str">
        <x:f>IF(I13="NO","HOLD",IF(J13&gt;1,"DUPLICATE","APPROVED"))</x:f>
        <x:v>APPROVED</x:v>
      </x:c>
      <x:c r="L13" t="n">
        <x:f>IF(K13="APPROVED",1,0)</x:f>
        <x:v>1</x:v>
      </x:c>
    </x:row>
    <x:row r="14" ht="19" customHeight="1">
      <x:c r="A14" t="str">
        <x:v>B-009</x:v>
      </x:c>
      <x:c r="B14" t="str">
        <x:v>Mariner Consulting 009</x:v>
      </x:c>
      <x:c r="C14" t="str">
        <x:v>Quinn Lee</x:v>
      </x:c>
      <x:c r="D14" t="str">
        <x:v>account009@portfolio.example</x:v>
      </x:c>
      <x:c r="E14" t="str">
        <x:v>NC</x:v>
      </x:c>
      <x:c r="F14" t="str">
        <x:v>2026-10-09</x:v>
      </x:c>
      <x:c r="G14" t="str">
        <x:v>web_form</x:v>
      </x:c>
      <x:c r="H14" t="str">
        <x:f>LOWER(TRIM(D14))</x:f>
        <x:v>account009@portfolio.example</x:v>
      </x:c>
      <x:c r="I14" t="str">
        <x:f>IF(AND(LEN(H14)&gt;3,ISNUMBER(SEARCH("@",H14)),ISNUMBER(SEARCH(".",H14))),"YES","NO")</x:f>
        <x:v>YES</x:v>
      </x:c>
      <x:c r="J14" t="n">
        <x:f>IF(H14="",0,COUNTIF($H$6:H14,H14))</x:f>
        <x:v>1</x:v>
      </x:c>
      <x:c r="K14" t="str">
        <x:f>IF(I14="NO","HOLD",IF(J14&gt;1,"DUPLICATE","APPROVED"))</x:f>
        <x:v>APPROVED</x:v>
      </x:c>
      <x:c r="L14" t="n">
        <x:f>IF(K14="APPROVED",1,0)</x:f>
        <x:v>1</x:v>
      </x:c>
    </x:row>
    <x:row r="15" ht="19" customHeight="1">
      <x:c r="A15" t="str">
        <x:v>B-010</x:v>
      </x:c>
      <x:c r="B15" t="str">
        <x:v>White Oak Consulting 010</x:v>
      </x:c>
      <x:c r="C15" t="str">
        <x:v>Eli Parker</x:v>
      </x:c>
      <x:c r="D15" t="str">
        <x:v>account010@portfolio.example</x:v>
      </x:c>
      <x:c r="E15" t="str">
        <x:v>SC</x:v>
      </x:c>
      <x:c r="F15" t="str">
        <x:v>2026-10-10</x:v>
      </x:c>
      <x:c r="G15" t="str">
        <x:v>web_form</x:v>
      </x:c>
      <x:c r="H15" t="str">
        <x:f>LOWER(TRIM(D15))</x:f>
        <x:v>account010@portfolio.example</x:v>
      </x:c>
      <x:c r="I15" t="str">
        <x:f>IF(AND(LEN(H15)&gt;3,ISNUMBER(SEARCH("@",H15)),ISNUMBER(SEARCH(".",H15))),"YES","NO")</x:f>
        <x:v>YES</x:v>
      </x:c>
      <x:c r="J15" t="n">
        <x:f>IF(H15="",0,COUNTIF($H$6:H15,H15))</x:f>
        <x:v>1</x:v>
      </x:c>
      <x:c r="K15" t="str">
        <x:f>IF(I15="NO","HOLD",IF(J15&gt;1,"DUPLICATE","APPROVED"))</x:f>
        <x:v>APPROVED</x:v>
      </x:c>
      <x:c r="L15" t="n">
        <x:f>IF(K15="APPROVED",1,0)</x:f>
        <x:v>1</x:v>
      </x:c>
    </x:row>
    <x:row r="16" ht="19" customHeight="1">
      <x:c r="A16" t="str">
        <x:v>B-011</x:v>
      </x:c>
      <x:c r="B16" t="str">
        <x:v>Silvercrest Consulting 011</x:v>
      </x:c>
      <x:c r="C16" t="str">
        <x:v>Ari West</x:v>
      </x:c>
      <x:c r="D16" t="str">
        <x:v>account011@portfolio.example</x:v>
      </x:c>
      <x:c r="E16" t="str">
        <x:v>VA</x:v>
      </x:c>
      <x:c r="F16" t="str">
        <x:v>2026-10-11</x:v>
      </x:c>
      <x:c r="G16" t="str">
        <x:v>web_form</x:v>
      </x:c>
      <x:c r="H16" t="str">
        <x:f>LOWER(TRIM(D16))</x:f>
        <x:v>account011@portfolio.example</x:v>
      </x:c>
      <x:c r="I16" t="str">
        <x:f>IF(AND(LEN(H16)&gt;3,ISNUMBER(SEARCH("@",H16)),ISNUMBER(SEARCH(".",H16))),"YES","NO")</x:f>
        <x:v>YES</x:v>
      </x:c>
      <x:c r="J16" t="n">
        <x:f>IF(H16="",0,COUNTIF($H$6:H16,H16))</x:f>
        <x:v>1</x:v>
      </x:c>
      <x:c r="K16" t="str">
        <x:f>IF(I16="NO","HOLD",IF(J16&gt;1,"DUPLICATE","APPROVED"))</x:f>
        <x:v>APPROVED</x:v>
      </x:c>
      <x:c r="L16" t="n">
        <x:f>IF(K16="APPROVED",1,0)</x:f>
        <x:v>1</x:v>
      </x:c>
    </x:row>
    <x:row r="17" ht="19" customHeight="1">
      <x:c r="A17" t="str">
        <x:v>B-012</x:v>
      </x:c>
      <x:c r="B17" t="str">
        <x:v>Ironwood Consulting 012</x:v>
      </x:c>
      <x:c r="C17" t="str">
        <x:v>Dana Reed</x:v>
      </x:c>
      <x:c r="D17" t="str">
        <x:v>account012@portfolio.example</x:v>
      </x:c>
      <x:c r="E17" t="str">
        <x:v>GA</x:v>
      </x:c>
      <x:c r="F17" t="str">
        <x:v>2026-10-12</x:v>
      </x:c>
      <x:c r="G17" t="str">
        <x:v>web_form</x:v>
      </x:c>
      <x:c r="H17" t="str">
        <x:f>LOWER(TRIM(D17))</x:f>
        <x:v>account012@portfolio.example</x:v>
      </x:c>
      <x:c r="I17" t="str">
        <x:f>IF(AND(LEN(H17)&gt;3,ISNUMBER(SEARCH("@",H17)),ISNUMBER(SEARCH(".",H17))),"YES","NO")</x:f>
        <x:v>YES</x:v>
      </x:c>
      <x:c r="J17" t="n">
        <x:f>IF(H17="",0,COUNTIF($H$6:H17,H17))</x:f>
        <x:v>1</x:v>
      </x:c>
      <x:c r="K17" t="str">
        <x:f>IF(I17="NO","HOLD",IF(J17&gt;1,"DUPLICATE","APPROVED"))</x:f>
        <x:v>APPROVED</x:v>
      </x:c>
      <x:c r="L17" t="n">
        <x:f>IF(K17="APPROVED",1,0)</x:f>
        <x:v>1</x:v>
      </x:c>
    </x:row>
    <x:row r="18" ht="19" customHeight="1">
      <x:c r="A18" t="str">
        <x:v>B-013</x:v>
      </x:c>
      <x:c r="B18" t="str">
        <x:v>Clearwater Consulting 013</x:v>
      </x:c>
      <x:c r="C18" t="str">
        <x:v>Mica Patel</x:v>
      </x:c>
      <x:c r="D18" t="str">
        <x:v>account013@portfolio.example</x:v>
      </x:c>
      <x:c r="E18" t="str">
        <x:v>FL</x:v>
      </x:c>
      <x:c r="F18" t="str">
        <x:v>2026-10-13</x:v>
      </x:c>
      <x:c r="G18" t="str">
        <x:v>web_form</x:v>
      </x:c>
      <x:c r="H18" t="str">
        <x:f>LOWER(TRIM(D18))</x:f>
        <x:v>account013@portfolio.example</x:v>
      </x:c>
      <x:c r="I18" t="str">
        <x:f>IF(AND(LEN(H18)&gt;3,ISNUMBER(SEARCH("@",H18)),ISNUMBER(SEARCH(".",H18))),"YES","NO")</x:f>
        <x:v>YES</x:v>
      </x:c>
      <x:c r="J18" t="n">
        <x:f>IF(H18="",0,COUNTIF($H$6:H18,H18))</x:f>
        <x:v>1</x:v>
      </x:c>
      <x:c r="K18" t="str">
        <x:f>IF(I18="NO","HOLD",IF(J18&gt;1,"DUPLICATE","APPROVED"))</x:f>
        <x:v>APPROVED</x:v>
      </x:c>
      <x:c r="L18" t="n">
        <x:f>IF(K18="APPROVED",1,0)</x:f>
        <x:v>1</x:v>
      </x:c>
    </x:row>
    <x:row r="19" ht="19" customHeight="1">
      <x:c r="A19" t="str">
        <x:v>B-014</x:v>
      </x:c>
      <x:c r="B19" t="str">
        <x:v>Stonebridge Consulting 014</x:v>
      </x:c>
      <x:c r="C19" t="str">
        <x:v>Noel Ford</x:v>
      </x:c>
      <x:c r="D19" t="str">
        <x:v>account014@portfolio.example</x:v>
      </x:c>
      <x:c r="E19" t="str">
        <x:v>TN</x:v>
      </x:c>
      <x:c r="F19" t="str">
        <x:v>2026-10-14</x:v>
      </x:c>
      <x:c r="G19" t="str">
        <x:v>web_form</x:v>
      </x:c>
      <x:c r="H19" t="str">
        <x:f>LOWER(TRIM(D19))</x:f>
        <x:v>account014@portfolio.example</x:v>
      </x:c>
      <x:c r="I19" t="str">
        <x:f>IF(AND(LEN(H19)&gt;3,ISNUMBER(SEARCH("@",H19)),ISNUMBER(SEARCH(".",H19))),"YES","NO")</x:f>
        <x:v>YES</x:v>
      </x:c>
      <x:c r="J19" t="n">
        <x:f>IF(H19="",0,COUNTIF($H$6:H19,H19))</x:f>
        <x:v>1</x:v>
      </x:c>
      <x:c r="K19" t="str">
        <x:f>IF(I19="NO","HOLD",IF(J19&gt;1,"DUPLICATE","APPROVED"))</x:f>
        <x:v>APPROVED</x:v>
      </x:c>
      <x:c r="L19" t="n">
        <x:f>IF(K19="APPROVED",1,0)</x:f>
        <x:v>1</x:v>
      </x:c>
    </x:row>
    <x:row r="20" ht="19" customHeight="1">
      <x:c r="A20" t="str">
        <x:v>B-015</x:v>
      </x:c>
      <x:c r="B20" t="str">
        <x:v>Brighton Consulting 015</x:v>
      </x:c>
      <x:c r="C20" t="str">
        <x:v>Jules Morgan</x:v>
      </x:c>
      <x:c r="D20" t="str">
        <x:v>account015@portfolio.example</x:v>
      </x:c>
      <x:c r="E20" t="str">
        <x:v>TX</x:v>
      </x:c>
      <x:c r="F20" t="str">
        <x:v>2026-10-15</x:v>
      </x:c>
      <x:c r="G20" t="str">
        <x:v>web_form</x:v>
      </x:c>
      <x:c r="H20" t="str">
        <x:f>LOWER(TRIM(D20))</x:f>
        <x:v>account015@portfolio.example</x:v>
      </x:c>
      <x:c r="I20" t="str">
        <x:f>IF(AND(LEN(H20)&gt;3,ISNUMBER(SEARCH("@",H20)),ISNUMBER(SEARCH(".",H20))),"YES","NO")</x:f>
        <x:v>YES</x:v>
      </x:c>
      <x:c r="J20" t="n">
        <x:f>IF(H20="",0,COUNTIF($H$6:H20,H20))</x:f>
        <x:v>1</x:v>
      </x:c>
      <x:c r="K20" t="str">
        <x:f>IF(I20="NO","HOLD",IF(J20&gt;1,"DUPLICATE","APPROVED"))</x:f>
        <x:v>APPROVED</x:v>
      </x:c>
      <x:c r="L20" t="n">
        <x:f>IF(K20="APPROVED",1,0)</x:f>
        <x:v>1</x:v>
      </x:c>
    </x:row>
    <x:row r="21" ht="19" customHeight="1">
      <x:c r="A21" t="str">
        <x:v>B-016</x:v>
      </x:c>
      <x:c r="B21" t="str">
        <x:v>Northfield Office Services 016</x:v>
      </x:c>
      <x:c r="C21" t="str">
        <x:v>Taylor Lee</x:v>
      </x:c>
      <x:c r="D21" t="str">
        <x:v>account016@portfolio.example</x:v>
      </x:c>
      <x:c r="E21" t="str">
        <x:v>MD</x:v>
      </x:c>
      <x:c r="F21" t="str">
        <x:v>2026-10-16</x:v>
      </x:c>
      <x:c r="G21" t="str">
        <x:v>web_form</x:v>
      </x:c>
      <x:c r="H21" t="str">
        <x:f>LOWER(TRIM(D21))</x:f>
        <x:v>account016@portfolio.example</x:v>
      </x:c>
      <x:c r="I21" t="str">
        <x:f>IF(AND(LEN(H21)&gt;3,ISNUMBER(SEARCH("@",H21)),ISNUMBER(SEARCH(".",H21))),"YES","NO")</x:f>
        <x:v>YES</x:v>
      </x:c>
      <x:c r="J21" t="n">
        <x:f>IF(H21="",0,COUNTIF($H$6:H21,H21))</x:f>
        <x:v>1</x:v>
      </x:c>
      <x:c r="K21" t="str">
        <x:f>IF(I21="NO","HOLD",IF(J21&gt;1,"DUPLICATE","APPROVED"))</x:f>
        <x:v>APPROVED</x:v>
      </x:c>
      <x:c r="L21" t="n">
        <x:f>IF(K21="APPROVED",1,0)</x:f>
        <x:v>1</x:v>
      </x:c>
    </x:row>
    <x:row r="22" ht="19" customHeight="1">
      <x:c r="A22" t="str">
        <x:v>B-017</x:v>
      </x:c>
      <x:c r="B22" t="str">
        <x:v>Cedarwood Office Services 017</x:v>
      </x:c>
      <x:c r="C22" t="str">
        <x:v>Remy Parker</x:v>
      </x:c>
      <x:c r="D22" t="str">
        <x:v>account017@portfolio.example</x:v>
      </x:c>
      <x:c r="E22" t="str">
        <x:v>NC</x:v>
      </x:c>
      <x:c r="F22" t="str">
        <x:v>2026-10-17</x:v>
      </x:c>
      <x:c r="G22" t="str">
        <x:v>web_form</x:v>
      </x:c>
      <x:c r="H22" t="str">
        <x:f>LOWER(TRIM(D22))</x:f>
        <x:v>account017@portfolio.example</x:v>
      </x:c>
      <x:c r="I22" t="str">
        <x:f>IF(AND(LEN(H22)&gt;3,ISNUMBER(SEARCH("@",H22)),ISNUMBER(SEARCH(".",H22))),"YES","NO")</x:f>
        <x:v>YES</x:v>
      </x:c>
      <x:c r="J22" t="n">
        <x:f>IF(H22="",0,COUNTIF($H$6:H22,H22))</x:f>
        <x:v>1</x:v>
      </x:c>
      <x:c r="K22" t="str">
        <x:f>IF(I22="NO","HOLD",IF(J22&gt;1,"DUPLICATE","APPROVED"))</x:f>
        <x:v>APPROVED</x:v>
      </x:c>
      <x:c r="L22" t="n">
        <x:f>IF(K22="APPROVED",1,0)</x:f>
        <x:v>1</x:v>
      </x:c>
    </x:row>
    <x:row r="23" ht="19" customHeight="1">
      <x:c r="A23" t="str">
        <x:v>B-018</x:v>
      </x:c>
      <x:c r="B23" t="str">
        <x:v>Brookline Office Services 018</x:v>
      </x:c>
      <x:c r="C23" t="str">
        <x:v>Morgan West</x:v>
      </x:c>
      <x:c r="D23" t="str">
        <x:v>account018@portfolio.example</x:v>
      </x:c>
      <x:c r="E23" t="str">
        <x:v>SC</x:v>
      </x:c>
      <x:c r="F23" t="str">
        <x:v>2026-10-18</x:v>
      </x:c>
      <x:c r="G23" t="str">
        <x:v>web_form</x:v>
      </x:c>
      <x:c r="H23" t="str">
        <x:f>LOWER(TRIM(D23))</x:f>
        <x:v>account018@portfolio.example</x:v>
      </x:c>
      <x:c r="I23" t="str">
        <x:f>IF(AND(LEN(H23)&gt;3,ISNUMBER(SEARCH("@",H23)),ISNUMBER(SEARCH(".",H23))),"YES","NO")</x:f>
        <x:v>YES</x:v>
      </x:c>
      <x:c r="J23" t="n">
        <x:f>IF(H23="",0,COUNTIF($H$6:H23,H23))</x:f>
        <x:v>1</x:v>
      </x:c>
      <x:c r="K23" t="str">
        <x:f>IF(I23="NO","HOLD",IF(J23&gt;1,"DUPLICATE","APPROVED"))</x:f>
        <x:v>APPROVED</x:v>
      </x:c>
      <x:c r="L23" t="n">
        <x:f>IF(K23="APPROVED",1,0)</x:f>
        <x:v>1</x:v>
      </x:c>
    </x:row>
    <x:row r="24" ht="19" customHeight="1">
      <x:c r="A24" t="str">
        <x:v>B-019</x:v>
      </x:c>
      <x:c r="B24" t="str">
        <x:v>Sable Office Services 019</x:v>
      </x:c>
      <x:c r="C24" t="str">
        <x:v>Quinn Reed</x:v>
      </x:c>
      <x:c r="D24" t="str">
        <x:v>account019@portfolio.example</x:v>
      </x:c>
      <x:c r="E24" t="str">
        <x:v>VA</x:v>
      </x:c>
      <x:c r="F24" t="str">
        <x:v>2026-10-19</x:v>
      </x:c>
      <x:c r="G24" t="str">
        <x:v>web_form</x:v>
      </x:c>
      <x:c r="H24" t="str">
        <x:f>LOWER(TRIM(D24))</x:f>
        <x:v>account019@portfolio.example</x:v>
      </x:c>
      <x:c r="I24" t="str">
        <x:f>IF(AND(LEN(H24)&gt;3,ISNUMBER(SEARCH("@",H24)),ISNUMBER(SEARCH(".",H24))),"YES","NO")</x:f>
        <x:v>YES</x:v>
      </x:c>
      <x:c r="J24" t="n">
        <x:f>IF(H24="",0,COUNTIF($H$6:H24,H24))</x:f>
        <x:v>1</x:v>
      </x:c>
      <x:c r="K24" t="str">
        <x:f>IF(I24="NO","HOLD",IF(J24&gt;1,"DUPLICATE","APPROVED"))</x:f>
        <x:v>APPROVED</x:v>
      </x:c>
      <x:c r="L24" t="n">
        <x:f>IF(K24="APPROVED",1,0)</x:f>
        <x:v>1</x:v>
      </x:c>
    </x:row>
    <x:row r="25" ht="19" customHeight="1">
      <x:c r="A25" t="str">
        <x:v>B-020</x:v>
      </x:c>
      <x:c r="B25" t="str">
        <x:v>Everview Office Services 020</x:v>
      </x:c>
      <x:c r="C25" t="str">
        <x:v>Eli Patel</x:v>
      </x:c>
      <x:c r="D25" t="str">
        <x:v>account020@portfolio.example</x:v>
      </x:c>
      <x:c r="E25" t="str">
        <x:v>GA</x:v>
      </x:c>
      <x:c r="F25" t="str">
        <x:v>2026-10-20</x:v>
      </x:c>
      <x:c r="G25" t="str">
        <x:v>web_form</x:v>
      </x:c>
      <x:c r="H25" t="str">
        <x:f>LOWER(TRIM(D25))</x:f>
        <x:v>account020@portfolio.example</x:v>
      </x:c>
      <x:c r="I25" t="str">
        <x:f>IF(AND(LEN(H25)&gt;3,ISNUMBER(SEARCH("@",H25)),ISNUMBER(SEARCH(".",H25))),"YES","NO")</x:f>
        <x:v>YES</x:v>
      </x:c>
      <x:c r="J25" t="n">
        <x:f>IF(H25="",0,COUNTIF($H$6:H25,H25))</x:f>
        <x:v>1</x:v>
      </x:c>
      <x:c r="K25" t="str">
        <x:f>IF(I25="NO","HOLD",IF(J25&gt;1,"DUPLICATE","APPROVED"))</x:f>
        <x:v>APPROVED</x:v>
      </x:c>
      <x:c r="L25" t="n">
        <x:f>IF(K25="APPROVED",1,0)</x:f>
        <x:v>1</x:v>
      </x:c>
    </x:row>
    <x:row r="26" ht="19" customHeight="1">
      <x:c r="A26" t="str">
        <x:v>B-021</x:v>
      </x:c>
      <x:c r="B26" t="str">
        <x:v>Frostline Office Services 021</x:v>
      </x:c>
      <x:c r="C26" t="str">
        <x:v>Ari Ford</x:v>
      </x:c>
      <x:c r="D26" t="str">
        <x:v>account021@portfolio.example</x:v>
      </x:c>
      <x:c r="E26" t="str">
        <x:v>FL</x:v>
      </x:c>
      <x:c r="F26" t="str">
        <x:v>2026-10-21</x:v>
      </x:c>
      <x:c r="G26" t="str">
        <x:v>web_form</x:v>
      </x:c>
      <x:c r="H26" t="str">
        <x:f>LOWER(TRIM(D26))</x:f>
        <x:v>account021@portfolio.example</x:v>
      </x:c>
      <x:c r="I26" t="str">
        <x:f>IF(AND(LEN(H26)&gt;3,ISNUMBER(SEARCH("@",H26)),ISNUMBER(SEARCH(".",H26))),"YES","NO")</x:f>
        <x:v>YES</x:v>
      </x:c>
      <x:c r="J26" t="n">
        <x:f>IF(H26="",0,COUNTIF($H$6:H26,H26))</x:f>
        <x:v>1</x:v>
      </x:c>
      <x:c r="K26" t="str">
        <x:f>IF(I26="NO","HOLD",IF(J26&gt;1,"DUPLICATE","APPROVED"))</x:f>
        <x:v>APPROVED</x:v>
      </x:c>
      <x:c r="L26" t="n">
        <x:f>IF(K26="APPROVED",1,0)</x:f>
        <x:v>1</x:v>
      </x:c>
    </x:row>
    <x:row r="27" ht="19" customHeight="1">
      <x:c r="A27" t="str">
        <x:v>B-022</x:v>
      </x:c>
      <x:c r="B27" t="str">
        <x:v>Summit Office Services 022</x:v>
      </x:c>
      <x:c r="C27" t="str">
        <x:v>Dana Morgan</x:v>
      </x:c>
      <x:c r="D27" t="str">
        <x:v>account022@portfolio.example</x:v>
      </x:c>
      <x:c r="E27" t="str">
        <x:v>TN</x:v>
      </x:c>
      <x:c r="F27" t="str">
        <x:v>2026-10-22</x:v>
      </x:c>
      <x:c r="G27" t="str">
        <x:v>web_form</x:v>
      </x:c>
      <x:c r="H27" t="str">
        <x:f>LOWER(TRIM(D27))</x:f>
        <x:v>account022@portfolio.example</x:v>
      </x:c>
      <x:c r="I27" t="str">
        <x:f>IF(AND(LEN(H27)&gt;3,ISNUMBER(SEARCH("@",H27)),ISNUMBER(SEARCH(".",H27))),"YES","NO")</x:f>
        <x:v>YES</x:v>
      </x:c>
      <x:c r="J27" t="n">
        <x:f>IF(H27="",0,COUNTIF($H$6:H27,H27))</x:f>
        <x:v>1</x:v>
      </x:c>
      <x:c r="K27" t="str">
        <x:f>IF(I27="NO","HOLD",IF(J27&gt;1,"DUPLICATE","APPROVED"))</x:f>
        <x:v>APPROVED</x:v>
      </x:c>
      <x:c r="L27" t="n">
        <x:f>IF(K27="APPROVED",1,0)</x:f>
        <x:v>1</x:v>
      </x:c>
    </x:row>
    <x:row r="28" ht="19" customHeight="1">
      <x:c r="A28" t="str">
        <x:v>B-023</x:v>
      </x:c>
      <x:c r="B28" t="str">
        <x:v>Pinefield Office Services 023</x:v>
      </x:c>
      <x:c r="C28" t="str">
        <x:v>Mica Lee</x:v>
      </x:c>
      <x:c r="D28" t="str">
        <x:v>account023@portfolio.example</x:v>
      </x:c>
      <x:c r="E28" t="str">
        <x:v>TX</x:v>
      </x:c>
      <x:c r="F28" t="str">
        <x:v>2026-10-23</x:v>
      </x:c>
      <x:c r="G28" t="str">
        <x:v>web_form</x:v>
      </x:c>
      <x:c r="H28" t="str">
        <x:f>LOWER(TRIM(D28))</x:f>
        <x:v>account023@portfolio.example</x:v>
      </x:c>
      <x:c r="I28" t="str">
        <x:f>IF(AND(LEN(H28)&gt;3,ISNUMBER(SEARCH("@",H28)),ISNUMBER(SEARCH(".",H28))),"YES","NO")</x:f>
        <x:v>YES</x:v>
      </x:c>
      <x:c r="J28" t="n">
        <x:f>IF(H28="",0,COUNTIF($H$6:H28,H28))</x:f>
        <x:v>1</x:v>
      </x:c>
      <x:c r="K28" t="str">
        <x:f>IF(I28="NO","HOLD",IF(J28&gt;1,"DUPLICATE","APPROVED"))</x:f>
        <x:v>APPROVED</x:v>
      </x:c>
      <x:c r="L28" t="n">
        <x:f>IF(K28="APPROVED",1,0)</x:f>
        <x:v>1</x:v>
      </x:c>
    </x:row>
    <x:row r="29" ht="19" customHeight="1">
      <x:c r="A29" t="str">
        <x:v>B-024</x:v>
      </x:c>
      <x:c r="B29" t="str">
        <x:v>Mariner Office Services 024</x:v>
      </x:c>
      <x:c r="C29" t="str">
        <x:v>Noel Parker</x:v>
      </x:c>
      <x:c r="D29" t="str">
        <x:v>account024@portfolio.example</x:v>
      </x:c>
      <x:c r="E29" t="str">
        <x:v>MD</x:v>
      </x:c>
      <x:c r="F29" t="str">
        <x:v>2026-10-24</x:v>
      </x:c>
      <x:c r="G29" t="str">
        <x:v>web_form</x:v>
      </x:c>
      <x:c r="H29" t="str">
        <x:f>LOWER(TRIM(D29))</x:f>
        <x:v>account024@portfolio.example</x:v>
      </x:c>
      <x:c r="I29" t="str">
        <x:f>IF(AND(LEN(H29)&gt;3,ISNUMBER(SEARCH("@",H29)),ISNUMBER(SEARCH(".",H29))),"YES","NO")</x:f>
        <x:v>YES</x:v>
      </x:c>
      <x:c r="J29" t="n">
        <x:f>IF(H29="",0,COUNTIF($H$6:H29,H29))</x:f>
        <x:v>1</x:v>
      </x:c>
      <x:c r="K29" t="str">
        <x:f>IF(I29="NO","HOLD",IF(J29&gt;1,"DUPLICATE","APPROVED"))</x:f>
        <x:v>APPROVED</x:v>
      </x:c>
      <x:c r="L29" t="n">
        <x:f>IF(K29="APPROVED",1,0)</x:f>
        <x:v>1</x:v>
      </x:c>
    </x:row>
    <x:row r="30" ht="19" customHeight="1">
      <x:c r="A30" t="str">
        <x:v>B-025</x:v>
      </x:c>
      <x:c r="B30" t="str">
        <x:v>White Oak Office Services 025</x:v>
      </x:c>
      <x:c r="C30" t="str">
        <x:v>Jules West</x:v>
      </x:c>
      <x:c r="D30" t="str">
        <x:v>account025@portfolio.example</x:v>
      </x:c>
      <x:c r="E30" t="str">
        <x:v>NC</x:v>
      </x:c>
      <x:c r="F30" t="str">
        <x:v>2026-10-25</x:v>
      </x:c>
      <x:c r="G30" t="str">
        <x:v>web_form</x:v>
      </x:c>
      <x:c r="H30" t="str">
        <x:f>LOWER(TRIM(D30))</x:f>
        <x:v>account025@portfolio.example</x:v>
      </x:c>
      <x:c r="I30" t="str">
        <x:f>IF(AND(LEN(H30)&gt;3,ISNUMBER(SEARCH("@",H30)),ISNUMBER(SEARCH(".",H30))),"YES","NO")</x:f>
        <x:v>YES</x:v>
      </x:c>
      <x:c r="J30" t="n">
        <x:f>IF(H30="",0,COUNTIF($H$6:H30,H30))</x:f>
        <x:v>1</x:v>
      </x:c>
      <x:c r="K30" t="str">
        <x:f>IF(I30="NO","HOLD",IF(J30&gt;1,"DUPLICATE","APPROVED"))</x:f>
        <x:v>APPROVED</x:v>
      </x:c>
      <x:c r="L30" t="n">
        <x:f>IF(K30="APPROVED",1,0)</x:f>
        <x:v>1</x:v>
      </x:c>
    </x:row>
    <x:row r="31" ht="19" customHeight="1">
      <x:c r="A31" t="str">
        <x:v>B-026</x:v>
      </x:c>
      <x:c r="B31" t="str">
        <x:v>Silvercrest Office Services 026</x:v>
      </x:c>
      <x:c r="C31" t="str">
        <x:v>Taylor Reed</x:v>
      </x:c>
      <x:c r="D31" t="str">
        <x:v>account026@portfolio.example</x:v>
      </x:c>
      <x:c r="E31" t="str">
        <x:v>SC</x:v>
      </x:c>
      <x:c r="F31" t="str">
        <x:v>2026-10-26</x:v>
      </x:c>
      <x:c r="G31" t="str">
        <x:v>web_form</x:v>
      </x:c>
      <x:c r="H31" t="str">
        <x:f>LOWER(TRIM(D31))</x:f>
        <x:v>account026@portfolio.example</x:v>
      </x:c>
      <x:c r="I31" t="str">
        <x:f>IF(AND(LEN(H31)&gt;3,ISNUMBER(SEARCH("@",H31)),ISNUMBER(SEARCH(".",H31))),"YES","NO")</x:f>
        <x:v>YES</x:v>
      </x:c>
      <x:c r="J31" t="n">
        <x:f>IF(H31="",0,COUNTIF($H$6:H31,H31))</x:f>
        <x:v>1</x:v>
      </x:c>
      <x:c r="K31" t="str">
        <x:f>IF(I31="NO","HOLD",IF(J31&gt;1,"DUPLICATE","APPROVED"))</x:f>
        <x:v>APPROVED</x:v>
      </x:c>
      <x:c r="L31" t="n">
        <x:f>IF(K31="APPROVED",1,0)</x:f>
        <x:v>1</x:v>
      </x:c>
    </x:row>
    <x:row r="32" ht="19" customHeight="1">
      <x:c r="A32" t="str">
        <x:v>B-027</x:v>
      </x:c>
      <x:c r="B32" t="str">
        <x:v>Ironwood Office Services 027</x:v>
      </x:c>
      <x:c r="C32" t="str">
        <x:v>Remy Patel</x:v>
      </x:c>
      <x:c r="D32" t="str">
        <x:v>account027@portfolio.example</x:v>
      </x:c>
      <x:c r="E32" t="str">
        <x:v>VA</x:v>
      </x:c>
      <x:c r="F32" t="str">
        <x:v>2026-10-01</x:v>
      </x:c>
      <x:c r="G32" t="str">
        <x:v>web_form</x:v>
      </x:c>
      <x:c r="H32" t="str">
        <x:f>LOWER(TRIM(D32))</x:f>
        <x:v>account027@portfolio.example</x:v>
      </x:c>
      <x:c r="I32" t="str">
        <x:f>IF(AND(LEN(H32)&gt;3,ISNUMBER(SEARCH("@",H32)),ISNUMBER(SEARCH(".",H32))),"YES","NO")</x:f>
        <x:v>YES</x:v>
      </x:c>
      <x:c r="J32" t="n">
        <x:f>IF(H32="",0,COUNTIF($H$6:H32,H32))</x:f>
        <x:v>1</x:v>
      </x:c>
      <x:c r="K32" t="str">
        <x:f>IF(I32="NO","HOLD",IF(J32&gt;1,"DUPLICATE","APPROVED"))</x:f>
        <x:v>APPROVED</x:v>
      </x:c>
      <x:c r="L32" t="n">
        <x:f>IF(K32="APPROVED",1,0)</x:f>
        <x:v>1</x:v>
      </x:c>
    </x:row>
    <x:row r="33" ht="19" customHeight="1">
      <x:c r="A33" t="str">
        <x:v>B-028</x:v>
      </x:c>
      <x:c r="B33" t="str">
        <x:v>Clearwater Office Services 028</x:v>
      </x:c>
      <x:c r="C33" t="str">
        <x:v>Morgan Ford</x:v>
      </x:c>
      <x:c r="D33" t="str">
        <x:v>account028@portfolio.example</x:v>
      </x:c>
      <x:c r="E33" t="str">
        <x:v>GA</x:v>
      </x:c>
      <x:c r="F33" t="str">
        <x:v>2026-10-02</x:v>
      </x:c>
      <x:c r="G33" t="str">
        <x:v>web_form</x:v>
      </x:c>
      <x:c r="H33" t="str">
        <x:f>LOWER(TRIM(D33))</x:f>
        <x:v>account028@portfolio.example</x:v>
      </x:c>
      <x:c r="I33" t="str">
        <x:f>IF(AND(LEN(H33)&gt;3,ISNUMBER(SEARCH("@",H33)),ISNUMBER(SEARCH(".",H33))),"YES","NO")</x:f>
        <x:v>YES</x:v>
      </x:c>
      <x:c r="J33" t="n">
        <x:f>IF(H33="",0,COUNTIF($H$6:H33,H33))</x:f>
        <x:v>1</x:v>
      </x:c>
      <x:c r="K33" t="str">
        <x:f>IF(I33="NO","HOLD",IF(J33&gt;1,"DUPLICATE","APPROVED"))</x:f>
        <x:v>APPROVED</x:v>
      </x:c>
      <x:c r="L33" t="n">
        <x:f>IF(K33="APPROVED",1,0)</x:f>
        <x:v>1</x:v>
      </x:c>
    </x:row>
    <x:row r="34" ht="19" customHeight="1">
      <x:c r="A34" t="str">
        <x:v>B-029</x:v>
      </x:c>
      <x:c r="B34" t="str">
        <x:v>Stonebridge Office Services 029</x:v>
      </x:c>
      <x:c r="C34" t="str">
        <x:v>Quinn Morgan</x:v>
      </x:c>
      <x:c r="D34" t="str">
        <x:v>account029@portfolio.example</x:v>
      </x:c>
      <x:c r="E34" t="str">
        <x:v>FL</x:v>
      </x:c>
      <x:c r="F34" t="str">
        <x:v>2026-10-03</x:v>
      </x:c>
      <x:c r="G34" t="str">
        <x:v>web_form</x:v>
      </x:c>
      <x:c r="H34" t="str">
        <x:f>LOWER(TRIM(D34))</x:f>
        <x:v>account029@portfolio.example</x:v>
      </x:c>
      <x:c r="I34" t="str">
        <x:f>IF(AND(LEN(H34)&gt;3,ISNUMBER(SEARCH("@",H34)),ISNUMBER(SEARCH(".",H34))),"YES","NO")</x:f>
        <x:v>YES</x:v>
      </x:c>
      <x:c r="J34" t="n">
        <x:f>IF(H34="",0,COUNTIF($H$6:H34,H34))</x:f>
        <x:v>1</x:v>
      </x:c>
      <x:c r="K34" t="str">
        <x:f>IF(I34="NO","HOLD",IF(J34&gt;1,"DUPLICATE","APPROVED"))</x:f>
        <x:v>APPROVED</x:v>
      </x:c>
      <x:c r="L34" t="n">
        <x:f>IF(K34="APPROVED",1,0)</x:f>
        <x:v>1</x:v>
      </x:c>
    </x:row>
    <x:row r="35" ht="19" customHeight="1">
      <x:c r="A35" t="str">
        <x:v>B-030</x:v>
      </x:c>
      <x:c r="B35" t="str">
        <x:v>Brighton Office Services 030</x:v>
      </x:c>
      <x:c r="C35" t="str">
        <x:v>Eli Lee</x:v>
      </x:c>
      <x:c r="D35" t="str">
        <x:v>account030@portfolio.example</x:v>
      </x:c>
      <x:c r="E35" t="str">
        <x:v>TN</x:v>
      </x:c>
      <x:c r="F35" t="str">
        <x:v>2026-10-04</x:v>
      </x:c>
      <x:c r="G35" t="str">
        <x:v>web_form</x:v>
      </x:c>
      <x:c r="H35" t="str">
        <x:f>LOWER(TRIM(D35))</x:f>
        <x:v>account030@portfolio.example</x:v>
      </x:c>
      <x:c r="I35" t="str">
        <x:f>IF(AND(LEN(H35)&gt;3,ISNUMBER(SEARCH("@",H35)),ISNUMBER(SEARCH(".",H35))),"YES","NO")</x:f>
        <x:v>YES</x:v>
      </x:c>
      <x:c r="J35" t="n">
        <x:f>IF(H35="",0,COUNTIF($H$6:H35,H35))</x:f>
        <x:v>1</x:v>
      </x:c>
      <x:c r="K35" t="str">
        <x:f>IF(I35="NO","HOLD",IF(J35&gt;1,"DUPLICATE","APPROVED"))</x:f>
        <x:v>APPROVED</x:v>
      </x:c>
      <x:c r="L35" t="n">
        <x:f>IF(K35="APPROVED",1,0)</x:f>
        <x:v>1</x:v>
      </x:c>
    </x:row>
    <x:row r="36" ht="19" customHeight="1">
      <x:c r="A36" t="str">
        <x:v>B-031</x:v>
      </x:c>
      <x:c r="B36" t="str">
        <x:v>Northfield Distribution 031</x:v>
      </x:c>
      <x:c r="C36" t="str">
        <x:v>Ari Parker</x:v>
      </x:c>
      <x:c r="D36" t="str">
        <x:v>account031@portfolio.example</x:v>
      </x:c>
      <x:c r="E36" t="str">
        <x:v>TX</x:v>
      </x:c>
      <x:c r="F36" t="str">
        <x:v>2026-10-05</x:v>
      </x:c>
      <x:c r="G36" t="str">
        <x:v>web_form</x:v>
      </x:c>
      <x:c r="H36" t="str">
        <x:f>LOWER(TRIM(D36))</x:f>
        <x:v>account031@portfolio.example</x:v>
      </x:c>
      <x:c r="I36" t="str">
        <x:f>IF(AND(LEN(H36)&gt;3,ISNUMBER(SEARCH("@",H36)),ISNUMBER(SEARCH(".",H36))),"YES","NO")</x:f>
        <x:v>YES</x:v>
      </x:c>
      <x:c r="J36" t="n">
        <x:f>IF(H36="",0,COUNTIF($H$6:H36,H36))</x:f>
        <x:v>1</x:v>
      </x:c>
      <x:c r="K36" t="str">
        <x:f>IF(I36="NO","HOLD",IF(J36&gt;1,"DUPLICATE","APPROVED"))</x:f>
        <x:v>APPROVED</x:v>
      </x:c>
      <x:c r="L36" t="n">
        <x:f>IF(K36="APPROVED",1,0)</x:f>
        <x:v>1</x:v>
      </x:c>
    </x:row>
    <x:row r="37" ht="19" customHeight="1">
      <x:c r="A37" t="str">
        <x:v>B-032</x:v>
      </x:c>
      <x:c r="B37" t="str">
        <x:v>Cedarwood Distribution 032</x:v>
      </x:c>
      <x:c r="C37" t="str">
        <x:v>Dana West</x:v>
      </x:c>
      <x:c r="D37" t="str">
        <x:v>account032@portfolio.example</x:v>
      </x:c>
      <x:c r="E37" t="str">
        <x:v>MD</x:v>
      </x:c>
      <x:c r="F37" t="str">
        <x:v>2026-10-06</x:v>
      </x:c>
      <x:c r="G37" t="str">
        <x:v>web_form</x:v>
      </x:c>
      <x:c r="H37" t="str">
        <x:f>LOWER(TRIM(D37))</x:f>
        <x:v>account032@portfolio.example</x:v>
      </x:c>
      <x:c r="I37" t="str">
        <x:f>IF(AND(LEN(H37)&gt;3,ISNUMBER(SEARCH("@",H37)),ISNUMBER(SEARCH(".",H37))),"YES","NO")</x:f>
        <x:v>YES</x:v>
      </x:c>
      <x:c r="J37" t="n">
        <x:f>IF(H37="",0,COUNTIF($H$6:H37,H37))</x:f>
        <x:v>1</x:v>
      </x:c>
      <x:c r="K37" t="str">
        <x:f>IF(I37="NO","HOLD",IF(J37&gt;1,"DUPLICATE","APPROVED"))</x:f>
        <x:v>APPROVED</x:v>
      </x:c>
      <x:c r="L37" t="n">
        <x:f>IF(K37="APPROVED",1,0)</x:f>
        <x:v>1</x:v>
      </x:c>
    </x:row>
    <x:row r="38" ht="19" customHeight="1">
      <x:c r="A38" t="str">
        <x:v>B-033</x:v>
      </x:c>
      <x:c r="B38" t="str">
        <x:v>Brookline Distribution 033</x:v>
      </x:c>
      <x:c r="C38" t="str">
        <x:v>Mica Reed</x:v>
      </x:c>
      <x:c r="D38" t="str">
        <x:v>account033@portfolio.example</x:v>
      </x:c>
      <x:c r="E38" t="str">
        <x:v>NC</x:v>
      </x:c>
      <x:c r="F38" t="str">
        <x:v>2026-10-07</x:v>
      </x:c>
      <x:c r="G38" t="str">
        <x:v>web_form</x:v>
      </x:c>
      <x:c r="H38" t="str">
        <x:f>LOWER(TRIM(D38))</x:f>
        <x:v>account033@portfolio.example</x:v>
      </x:c>
      <x:c r="I38" t="str">
        <x:f>IF(AND(LEN(H38)&gt;3,ISNUMBER(SEARCH("@",H38)),ISNUMBER(SEARCH(".",H38))),"YES","NO")</x:f>
        <x:v>YES</x:v>
      </x:c>
      <x:c r="J38" t="n">
        <x:f>IF(H38="",0,COUNTIF($H$6:H38,H38))</x:f>
        <x:v>1</x:v>
      </x:c>
      <x:c r="K38" t="str">
        <x:f>IF(I38="NO","HOLD",IF(J38&gt;1,"DUPLICATE","APPROVED"))</x:f>
        <x:v>APPROVED</x:v>
      </x:c>
      <x:c r="L38" t="n">
        <x:f>IF(K38="APPROVED",1,0)</x:f>
        <x:v>1</x:v>
      </x:c>
    </x:row>
    <x:row r="39" ht="19" customHeight="1">
      <x:c r="A39" t="str">
        <x:v>B-034</x:v>
      </x:c>
      <x:c r="B39" t="str">
        <x:v>Sable Distribution 034</x:v>
      </x:c>
      <x:c r="C39" t="str">
        <x:v>Noel Patel</x:v>
      </x:c>
      <x:c r="D39" t="str">
        <x:v>account034@portfolio.example</x:v>
      </x:c>
      <x:c r="E39" t="str">
        <x:v>SC</x:v>
      </x:c>
      <x:c r="F39" t="str">
        <x:v>2026-10-08</x:v>
      </x:c>
      <x:c r="G39" t="str">
        <x:v>web_form</x:v>
      </x:c>
      <x:c r="H39" t="str">
        <x:f>LOWER(TRIM(D39))</x:f>
        <x:v>account034@portfolio.example</x:v>
      </x:c>
      <x:c r="I39" t="str">
        <x:f>IF(AND(LEN(H39)&gt;3,ISNUMBER(SEARCH("@",H39)),ISNUMBER(SEARCH(".",H39))),"YES","NO")</x:f>
        <x:v>YES</x:v>
      </x:c>
      <x:c r="J39" t="n">
        <x:f>IF(H39="",0,COUNTIF($H$6:H39,H39))</x:f>
        <x:v>1</x:v>
      </x:c>
      <x:c r="K39" t="str">
        <x:f>IF(I39="NO","HOLD",IF(J39&gt;1,"DUPLICATE","APPROVED"))</x:f>
        <x:v>APPROVED</x:v>
      </x:c>
      <x:c r="L39" t="n">
        <x:f>IF(K39="APPROVED",1,0)</x:f>
        <x:v>1</x:v>
      </x:c>
    </x:row>
    <x:row r="40" ht="19" customHeight="1">
      <x:c r="A40" t="str">
        <x:v>B-035</x:v>
      </x:c>
      <x:c r="B40" t="str">
        <x:v>Everview Distribution 035</x:v>
      </x:c>
      <x:c r="C40" t="str">
        <x:v>Jules Ford</x:v>
      </x:c>
      <x:c r="D40" t="str">
        <x:v>account035@portfolio.example</x:v>
      </x:c>
      <x:c r="E40" t="str">
        <x:v>VA</x:v>
      </x:c>
      <x:c r="F40" t="str">
        <x:v>2026-10-09</x:v>
      </x:c>
      <x:c r="G40" t="str">
        <x:v>web_form</x:v>
      </x:c>
      <x:c r="H40" t="str">
        <x:f>LOWER(TRIM(D40))</x:f>
        <x:v>account035@portfolio.example</x:v>
      </x:c>
      <x:c r="I40" t="str">
        <x:f>IF(AND(LEN(H40)&gt;3,ISNUMBER(SEARCH("@",H40)),ISNUMBER(SEARCH(".",H40))),"YES","NO")</x:f>
        <x:v>YES</x:v>
      </x:c>
      <x:c r="J40" t="n">
        <x:f>IF(H40="",0,COUNTIF($H$6:H40,H40))</x:f>
        <x:v>1</x:v>
      </x:c>
      <x:c r="K40" t="str">
        <x:f>IF(I40="NO","HOLD",IF(J40&gt;1,"DUPLICATE","APPROVED"))</x:f>
        <x:v>APPROVED</x:v>
      </x:c>
      <x:c r="L40" t="n">
        <x:f>IF(K40="APPROVED",1,0)</x:f>
        <x:v>1</x:v>
      </x:c>
    </x:row>
    <x:row r="41" ht="19" customHeight="1">
      <x:c r="A41" t="str">
        <x:v>B-036</x:v>
      </x:c>
      <x:c r="B41" t="str">
        <x:v>Frostline Distribution 036</x:v>
      </x:c>
      <x:c r="C41" t="str">
        <x:v>Taylor Morgan</x:v>
      </x:c>
      <x:c r="D41" t="str">
        <x:v>account036@portfolio.example</x:v>
      </x:c>
      <x:c r="E41" t="str">
        <x:v>GA</x:v>
      </x:c>
      <x:c r="F41" t="str">
        <x:v>2026-10-10</x:v>
      </x:c>
      <x:c r="G41" t="str">
        <x:v>web_form</x:v>
      </x:c>
      <x:c r="H41" t="str">
        <x:f>LOWER(TRIM(D41))</x:f>
        <x:v>account036@portfolio.example</x:v>
      </x:c>
      <x:c r="I41" t="str">
        <x:f>IF(AND(LEN(H41)&gt;3,ISNUMBER(SEARCH("@",H41)),ISNUMBER(SEARCH(".",H41))),"YES","NO")</x:f>
        <x:v>YES</x:v>
      </x:c>
      <x:c r="J41" t="n">
        <x:f>IF(H41="",0,COUNTIF($H$6:H41,H41))</x:f>
        <x:v>1</x:v>
      </x:c>
      <x:c r="K41" t="str">
        <x:f>IF(I41="NO","HOLD",IF(J41&gt;1,"DUPLICATE","APPROVED"))</x:f>
        <x:v>APPROVED</x:v>
      </x:c>
      <x:c r="L41" t="n">
        <x:f>IF(K41="APPROVED",1,0)</x:f>
        <x:v>1</x:v>
      </x:c>
    </x:row>
    <x:row r="42" ht="19" customHeight="1">
      <x:c r="A42" t="str">
        <x:v>B-037</x:v>
      </x:c>
      <x:c r="B42" t="str">
        <x:v>Summit Distribution 037</x:v>
      </x:c>
      <x:c r="C42" t="str">
        <x:v>Remy Lee</x:v>
      </x:c>
      <x:c r="D42" t="str">
        <x:v>account037@portfolio.example</x:v>
      </x:c>
      <x:c r="E42" t="str">
        <x:v>FL</x:v>
      </x:c>
      <x:c r="F42" t="str">
        <x:v>2026-10-11</x:v>
      </x:c>
      <x:c r="G42" t="str">
        <x:v>web_form</x:v>
      </x:c>
      <x:c r="H42" t="str">
        <x:f>LOWER(TRIM(D42))</x:f>
        <x:v>account037@portfolio.example</x:v>
      </x:c>
      <x:c r="I42" t="str">
        <x:f>IF(AND(LEN(H42)&gt;3,ISNUMBER(SEARCH("@",H42)),ISNUMBER(SEARCH(".",H42))),"YES","NO")</x:f>
        <x:v>YES</x:v>
      </x:c>
      <x:c r="J42" t="n">
        <x:f>IF(H42="",0,COUNTIF($H$6:H42,H42))</x:f>
        <x:v>1</x:v>
      </x:c>
      <x:c r="K42" t="str">
        <x:f>IF(I42="NO","HOLD",IF(J42&gt;1,"DUPLICATE","APPROVED"))</x:f>
        <x:v>APPROVED</x:v>
      </x:c>
      <x:c r="L42" t="n">
        <x:f>IF(K42="APPROVED",1,0)</x:f>
        <x:v>1</x:v>
      </x:c>
    </x:row>
    <x:row r="43" ht="19" customHeight="1">
      <x:c r="A43" t="str">
        <x:v>B-038</x:v>
      </x:c>
      <x:c r="B43" t="str">
        <x:v>Pinefield Distribution 038</x:v>
      </x:c>
      <x:c r="C43" t="str">
        <x:v>Morgan Parker</x:v>
      </x:c>
      <x:c r="D43" t="str">
        <x:v>account038@portfolio.example</x:v>
      </x:c>
      <x:c r="E43" t="str">
        <x:v>TN</x:v>
      </x:c>
      <x:c r="F43" t="str">
        <x:v>2026-10-12</x:v>
      </x:c>
      <x:c r="G43" t="str">
        <x:v>web_form</x:v>
      </x:c>
      <x:c r="H43" t="str">
        <x:f>LOWER(TRIM(D43))</x:f>
        <x:v>account038@portfolio.example</x:v>
      </x:c>
      <x:c r="I43" t="str">
        <x:f>IF(AND(LEN(H43)&gt;3,ISNUMBER(SEARCH("@",H43)),ISNUMBER(SEARCH(".",H43))),"YES","NO")</x:f>
        <x:v>YES</x:v>
      </x:c>
      <x:c r="J43" t="n">
        <x:f>IF(H43="",0,COUNTIF($H$6:H43,H43))</x:f>
        <x:v>1</x:v>
      </x:c>
      <x:c r="K43" t="str">
        <x:f>IF(I43="NO","HOLD",IF(J43&gt;1,"DUPLICATE","APPROVED"))</x:f>
        <x:v>APPROVED</x:v>
      </x:c>
      <x:c r="L43" t="n">
        <x:f>IF(K43="APPROVED",1,0)</x:f>
        <x:v>1</x:v>
      </x:c>
    </x:row>
    <x:row r="44" ht="19" customHeight="1">
      <x:c r="A44" t="str">
        <x:v>B-039</x:v>
      </x:c>
      <x:c r="B44" t="str">
        <x:v>Mariner Distribution 039</x:v>
      </x:c>
      <x:c r="C44" t="str">
        <x:v>Quinn West</x:v>
      </x:c>
      <x:c r="D44" t="str">
        <x:v>account039@portfolio.example</x:v>
      </x:c>
      <x:c r="E44" t="str">
        <x:v>TX</x:v>
      </x:c>
      <x:c r="F44" t="str">
        <x:v>2026-10-13</x:v>
      </x:c>
      <x:c r="G44" t="str">
        <x:v>web_form</x:v>
      </x:c>
      <x:c r="H44" t="str">
        <x:f>LOWER(TRIM(D44))</x:f>
        <x:v>account039@portfolio.example</x:v>
      </x:c>
      <x:c r="I44" t="str">
        <x:f>IF(AND(LEN(H44)&gt;3,ISNUMBER(SEARCH("@",H44)),ISNUMBER(SEARCH(".",H44))),"YES","NO")</x:f>
        <x:v>YES</x:v>
      </x:c>
      <x:c r="J44" t="n">
        <x:f>IF(H44="",0,COUNTIF($H$6:H44,H44))</x:f>
        <x:v>1</x:v>
      </x:c>
      <x:c r="K44" t="str">
        <x:f>IF(I44="NO","HOLD",IF(J44&gt;1,"DUPLICATE","APPROVED"))</x:f>
        <x:v>APPROVED</x:v>
      </x:c>
      <x:c r="L44" t="n">
        <x:f>IF(K44="APPROVED",1,0)</x:f>
        <x:v>1</x:v>
      </x:c>
    </x:row>
    <x:row r="45" ht="19" customHeight="1">
      <x:c r="A45" t="str">
        <x:v>B-040</x:v>
      </x:c>
      <x:c r="B45" t="str">
        <x:v>White Oak Distribution 040</x:v>
      </x:c>
      <x:c r="C45" t="str">
        <x:v>Eli Reed</x:v>
      </x:c>
      <x:c r="D45" t="str">
        <x:v>account040@portfolio.example</x:v>
      </x:c>
      <x:c r="E45" t="str">
        <x:v>MD</x:v>
      </x:c>
      <x:c r="F45" t="str">
        <x:v>2026-10-14</x:v>
      </x:c>
      <x:c r="G45" t="str">
        <x:v>web_form</x:v>
      </x:c>
      <x:c r="H45" t="str">
        <x:f>LOWER(TRIM(D45))</x:f>
        <x:v>account040@portfolio.example</x:v>
      </x:c>
      <x:c r="I45" t="str">
        <x:f>IF(AND(LEN(H45)&gt;3,ISNUMBER(SEARCH("@",H45)),ISNUMBER(SEARCH(".",H45))),"YES","NO")</x:f>
        <x:v>YES</x:v>
      </x:c>
      <x:c r="J45" t="n">
        <x:f>IF(H45="",0,COUNTIF($H$6:H45,H45))</x:f>
        <x:v>1</x:v>
      </x:c>
      <x:c r="K45" t="str">
        <x:f>IF(I45="NO","HOLD",IF(J45&gt;1,"DUPLICATE","APPROVED"))</x:f>
        <x:v>APPROVED</x:v>
      </x:c>
      <x:c r="L45" t="n">
        <x:f>IF(K45="APPROVED",1,0)</x:f>
        <x:v>1</x:v>
      </x:c>
    </x:row>
    <x:row r="46" ht="19" customHeight="1">
      <x:c r="A46" t="str">
        <x:v>B-041</x:v>
      </x:c>
      <x:c r="B46" t="str">
        <x:v>Silvercrest Distribution 041</x:v>
      </x:c>
      <x:c r="C46" t="str">
        <x:v>Ari Patel</x:v>
      </x:c>
      <x:c r="D46" t="str">
        <x:v>account041@portfolio.example</x:v>
      </x:c>
      <x:c r="E46" t="str">
        <x:v>NC</x:v>
      </x:c>
      <x:c r="F46" t="str">
        <x:v>2026-10-15</x:v>
      </x:c>
      <x:c r="G46" t="str">
        <x:v>web_form</x:v>
      </x:c>
      <x:c r="H46" t="str">
        <x:f>LOWER(TRIM(D46))</x:f>
        <x:v>account041@portfolio.example</x:v>
      </x:c>
      <x:c r="I46" t="str">
        <x:f>IF(AND(LEN(H46)&gt;3,ISNUMBER(SEARCH("@",H46)),ISNUMBER(SEARCH(".",H46))),"YES","NO")</x:f>
        <x:v>YES</x:v>
      </x:c>
      <x:c r="J46" t="n">
        <x:f>IF(H46="",0,COUNTIF($H$6:H46,H46))</x:f>
        <x:v>1</x:v>
      </x:c>
      <x:c r="K46" t="str">
        <x:f>IF(I46="NO","HOLD",IF(J46&gt;1,"DUPLICATE","APPROVED"))</x:f>
        <x:v>APPROVED</x:v>
      </x:c>
      <x:c r="L46" t="n">
        <x:f>IF(K46="APPROVED",1,0)</x:f>
        <x:v>1</x:v>
      </x:c>
    </x:row>
    <x:row r="47" ht="19" customHeight="1">
      <x:c r="A47" t="str">
        <x:v>B-042</x:v>
      </x:c>
      <x:c r="B47" t="str">
        <x:v>Ironwood Distribution 042</x:v>
      </x:c>
      <x:c r="C47" t="str">
        <x:v>Dana Ford</x:v>
      </x:c>
      <x:c r="D47" t="str">
        <x:v>account042@portfolio.example</x:v>
      </x:c>
      <x:c r="E47" t="str">
        <x:v>SC</x:v>
      </x:c>
      <x:c r="F47" t="str">
        <x:v>2026-10-16</x:v>
      </x:c>
      <x:c r="G47" t="str">
        <x:v>web_form</x:v>
      </x:c>
      <x:c r="H47" t="str">
        <x:f>LOWER(TRIM(D47))</x:f>
        <x:v>account042@portfolio.example</x:v>
      </x:c>
      <x:c r="I47" t="str">
        <x:f>IF(AND(LEN(H47)&gt;3,ISNUMBER(SEARCH("@",H47)),ISNUMBER(SEARCH(".",H47))),"YES","NO")</x:f>
        <x:v>YES</x:v>
      </x:c>
      <x:c r="J47" t="n">
        <x:f>IF(H47="",0,COUNTIF($H$6:H47,H47))</x:f>
        <x:v>1</x:v>
      </x:c>
      <x:c r="K47" t="str">
        <x:f>IF(I47="NO","HOLD",IF(J47&gt;1,"DUPLICATE","APPROVED"))</x:f>
        <x:v>APPROVED</x:v>
      </x:c>
      <x:c r="L47" t="n">
        <x:f>IF(K47="APPROVED",1,0)</x:f>
        <x:v>1</x:v>
      </x:c>
    </x:row>
    <x:row r="48" ht="19" customHeight="1">
      <x:c r="A48" t="str">
        <x:v>B-043</x:v>
      </x:c>
      <x:c r="B48" t="str">
        <x:v>Clearwater Distribution 043</x:v>
      </x:c>
      <x:c r="C48" t="str">
        <x:v>Mica Morgan</x:v>
      </x:c>
      <x:c r="D48" t="str">
        <x:v>account043@portfolio.example</x:v>
      </x:c>
      <x:c r="E48" t="str">
        <x:v>VA</x:v>
      </x:c>
      <x:c r="F48" t="str">
        <x:v>2026-10-17</x:v>
      </x:c>
      <x:c r="G48" t="str">
        <x:v>web_form</x:v>
      </x:c>
      <x:c r="H48" t="str">
        <x:f>LOWER(TRIM(D48))</x:f>
        <x:v>account043@portfolio.example</x:v>
      </x:c>
      <x:c r="I48" t="str">
        <x:f>IF(AND(LEN(H48)&gt;3,ISNUMBER(SEARCH("@",H48)),ISNUMBER(SEARCH(".",H48))),"YES","NO")</x:f>
        <x:v>YES</x:v>
      </x:c>
      <x:c r="J48" t="n">
        <x:f>IF(H48="",0,COUNTIF($H$6:H48,H48))</x:f>
        <x:v>1</x:v>
      </x:c>
      <x:c r="K48" t="str">
        <x:f>IF(I48="NO","HOLD",IF(J48&gt;1,"DUPLICATE","APPROVED"))</x:f>
        <x:v>APPROVED</x:v>
      </x:c>
      <x:c r="L48" t="n">
        <x:f>IF(K48="APPROVED",1,0)</x:f>
        <x:v>1</x:v>
      </x:c>
    </x:row>
    <x:row r="49" ht="19" customHeight="1">
      <x:c r="A49" t="str">
        <x:v>B-044</x:v>
      </x:c>
      <x:c r="B49" t="str">
        <x:v>Stonebridge Distribution 044</x:v>
      </x:c>
      <x:c r="C49" t="str">
        <x:v>Noel Lee</x:v>
      </x:c>
      <x:c r="D49" t="str">
        <x:v>account044@portfolio.example</x:v>
      </x:c>
      <x:c r="E49" t="str">
        <x:v>GA</x:v>
      </x:c>
      <x:c r="F49" t="str">
        <x:v>2026-10-18</x:v>
      </x:c>
      <x:c r="G49" t="str">
        <x:v>web_form</x:v>
      </x:c>
      <x:c r="H49" t="str">
        <x:f>LOWER(TRIM(D49))</x:f>
        <x:v>account044@portfolio.example</x:v>
      </x:c>
      <x:c r="I49" t="str">
        <x:f>IF(AND(LEN(H49)&gt;3,ISNUMBER(SEARCH("@",H49)),ISNUMBER(SEARCH(".",H49))),"YES","NO")</x:f>
        <x:v>YES</x:v>
      </x:c>
      <x:c r="J49" t="n">
        <x:f>IF(H49="",0,COUNTIF($H$6:H49,H49))</x:f>
        <x:v>1</x:v>
      </x:c>
      <x:c r="K49" t="str">
        <x:f>IF(I49="NO","HOLD",IF(J49&gt;1,"DUPLICATE","APPROVED"))</x:f>
        <x:v>APPROVED</x:v>
      </x:c>
      <x:c r="L49" t="n">
        <x:f>IF(K49="APPROVED",1,0)</x:f>
        <x:v>1</x:v>
      </x:c>
    </x:row>
    <x:row r="50" ht="19" customHeight="1">
      <x:c r="A50" t="str">
        <x:v>B-045</x:v>
      </x:c>
      <x:c r="B50" t="str">
        <x:v>Brighton Distribution 045</x:v>
      </x:c>
      <x:c r="C50" t="str">
        <x:v>Jules Parker</x:v>
      </x:c>
      <x:c r="D50" t="str">
        <x:v>account045@portfolio.example</x:v>
      </x:c>
      <x:c r="E50" t="str">
        <x:v>FL</x:v>
      </x:c>
      <x:c r="F50" t="str">
        <x:v>2026-10-19</x:v>
      </x:c>
      <x:c r="G50" t="str">
        <x:v>web_form</x:v>
      </x:c>
      <x:c r="H50" t="str">
        <x:f>LOWER(TRIM(D50))</x:f>
        <x:v>account045@portfolio.example</x:v>
      </x:c>
      <x:c r="I50" t="str">
        <x:f>IF(AND(LEN(H50)&gt;3,ISNUMBER(SEARCH("@",H50)),ISNUMBER(SEARCH(".",H50))),"YES","NO")</x:f>
        <x:v>YES</x:v>
      </x:c>
      <x:c r="J50" t="n">
        <x:f>IF(H50="",0,COUNTIF($H$6:H50,H50))</x:f>
        <x:v>1</x:v>
      </x:c>
      <x:c r="K50" t="str">
        <x:f>IF(I50="NO","HOLD",IF(J50&gt;1,"DUPLICATE","APPROVED"))</x:f>
        <x:v>APPROVED</x:v>
      </x:c>
      <x:c r="L50" t="n">
        <x:f>IF(K50="APPROVED",1,0)</x:f>
        <x:v>1</x:v>
      </x:c>
    </x:row>
    <x:row r="51" ht="19" customHeight="1">
      <x:c r="A51" t="str">
        <x:v>B-046</x:v>
      </x:c>
      <x:c r="B51" t="str">
        <x:v>Northfield IT Services 046</x:v>
      </x:c>
      <x:c r="C51" t="str">
        <x:v>Taylor West</x:v>
      </x:c>
      <x:c r="D51" t="str">
        <x:v>account046@portfolio.example</x:v>
      </x:c>
      <x:c r="E51" t="str">
        <x:v>TN</x:v>
      </x:c>
      <x:c r="F51" t="str">
        <x:v>2026-10-20</x:v>
      </x:c>
      <x:c r="G51" t="str">
        <x:v>web_form</x:v>
      </x:c>
      <x:c r="H51" t="str">
        <x:f>LOWER(TRIM(D51))</x:f>
        <x:v>account046@portfolio.example</x:v>
      </x:c>
      <x:c r="I51" t="str">
        <x:f>IF(AND(LEN(H51)&gt;3,ISNUMBER(SEARCH("@",H51)),ISNUMBER(SEARCH(".",H51))),"YES","NO")</x:f>
        <x:v>YES</x:v>
      </x:c>
      <x:c r="J51" t="n">
        <x:f>IF(H51="",0,COUNTIF($H$6:H51,H51))</x:f>
        <x:v>1</x:v>
      </x:c>
      <x:c r="K51" t="str">
        <x:f>IF(I51="NO","HOLD",IF(J51&gt;1,"DUPLICATE","APPROVED"))</x:f>
        <x:v>APPROVED</x:v>
      </x:c>
      <x:c r="L51" t="n">
        <x:f>IF(K51="APPROVED",1,0)</x:f>
        <x:v>1</x:v>
      </x:c>
    </x:row>
    <x:row r="52" ht="19" customHeight="1">
      <x:c r="A52" t="str">
        <x:v>B-047</x:v>
      </x:c>
      <x:c r="B52" t="str">
        <x:v>Cedarwood IT Services 047</x:v>
      </x:c>
      <x:c r="C52" t="str">
        <x:v>Remy Reed</x:v>
      </x:c>
      <x:c r="D52" t="str">
        <x:v>account047@portfolio.example</x:v>
      </x:c>
      <x:c r="E52" t="str">
        <x:v>TX</x:v>
      </x:c>
      <x:c r="F52" t="str">
        <x:v>2026-10-21</x:v>
      </x:c>
      <x:c r="G52" t="str">
        <x:v>web_form</x:v>
      </x:c>
      <x:c r="H52" t="str">
        <x:f>LOWER(TRIM(D52))</x:f>
        <x:v>account047@portfolio.example</x:v>
      </x:c>
      <x:c r="I52" t="str">
        <x:f>IF(AND(LEN(H52)&gt;3,ISNUMBER(SEARCH("@",H52)),ISNUMBER(SEARCH(".",H52))),"YES","NO")</x:f>
        <x:v>YES</x:v>
      </x:c>
      <x:c r="J52" t="n">
        <x:f>IF(H52="",0,COUNTIF($H$6:H52,H52))</x:f>
        <x:v>1</x:v>
      </x:c>
      <x:c r="K52" t="str">
        <x:f>IF(I52="NO","HOLD",IF(J52&gt;1,"DUPLICATE","APPROVED"))</x:f>
        <x:v>APPROVED</x:v>
      </x:c>
      <x:c r="L52" t="n">
        <x:f>IF(K52="APPROVED",1,0)</x:f>
        <x:v>1</x:v>
      </x:c>
    </x:row>
    <x:row r="53" ht="19" customHeight="1">
      <x:c r="A53" t="str">
        <x:v>B-048</x:v>
      </x:c>
      <x:c r="B53" t="str">
        <x:v>Brookline IT Services 048</x:v>
      </x:c>
      <x:c r="C53" t="str">
        <x:v>Morgan Patel</x:v>
      </x:c>
      <x:c r="D53" t="str">
        <x:v>account048@portfolio.example</x:v>
      </x:c>
      <x:c r="E53" t="str">
        <x:v>MD</x:v>
      </x:c>
      <x:c r="F53" t="str">
        <x:v>2026-10-22</x:v>
      </x:c>
      <x:c r="G53" t="str">
        <x:v>web_form</x:v>
      </x:c>
      <x:c r="H53" t="str">
        <x:f>LOWER(TRIM(D53))</x:f>
        <x:v>account048@portfolio.example</x:v>
      </x:c>
      <x:c r="I53" t="str">
        <x:f>IF(AND(LEN(H53)&gt;3,ISNUMBER(SEARCH("@",H53)),ISNUMBER(SEARCH(".",H53))),"YES","NO")</x:f>
        <x:v>YES</x:v>
      </x:c>
      <x:c r="J53" t="n">
        <x:f>IF(H53="",0,COUNTIF($H$6:H53,H53))</x:f>
        <x:v>1</x:v>
      </x:c>
      <x:c r="K53" t="str">
        <x:f>IF(I53="NO","HOLD",IF(J53&gt;1,"DUPLICATE","APPROVED"))</x:f>
        <x:v>APPROVED</x:v>
      </x:c>
      <x:c r="L53" t="n">
        <x:f>IF(K53="APPROVED",1,0)</x:f>
        <x:v>1</x:v>
      </x:c>
    </x:row>
    <x:row r="54" ht="19" customHeight="1">
      <x:c r="A54" t="str">
        <x:v>B-049</x:v>
      </x:c>
      <x:c r="B54" t="str">
        <x:v>Sable IT Services 049</x:v>
      </x:c>
      <x:c r="C54" t="str">
        <x:v>Quinn Ford</x:v>
      </x:c>
      <x:c r="D54" t="str">
        <x:v>account049@portfolio.example</x:v>
      </x:c>
      <x:c r="E54" t="str">
        <x:v>NC</x:v>
      </x:c>
      <x:c r="F54" t="str">
        <x:v>2026-10-23</x:v>
      </x:c>
      <x:c r="G54" t="str">
        <x:v>web_form</x:v>
      </x:c>
      <x:c r="H54" t="str">
        <x:f>LOWER(TRIM(D54))</x:f>
        <x:v>account049@portfolio.example</x:v>
      </x:c>
      <x:c r="I54" t="str">
        <x:f>IF(AND(LEN(H54)&gt;3,ISNUMBER(SEARCH("@",H54)),ISNUMBER(SEARCH(".",H54))),"YES","NO")</x:f>
        <x:v>YES</x:v>
      </x:c>
      <x:c r="J54" t="n">
        <x:f>IF(H54="",0,COUNTIF($H$6:H54,H54))</x:f>
        <x:v>1</x:v>
      </x:c>
      <x:c r="K54" t="str">
        <x:f>IF(I54="NO","HOLD",IF(J54&gt;1,"DUPLICATE","APPROVED"))</x:f>
        <x:v>APPROVED</x:v>
      </x:c>
      <x:c r="L54" t="n">
        <x:f>IF(K54="APPROVED",1,0)</x:f>
        <x:v>1</x:v>
      </x:c>
    </x:row>
    <x:row r="55" ht="19" customHeight="1">
      <x:c r="A55" t="str">
        <x:v>B-050</x:v>
      </x:c>
      <x:c r="B55" t="str">
        <x:v>Everview IT Services 050</x:v>
      </x:c>
      <x:c r="C55" t="str">
        <x:v>Eli Morgan</x:v>
      </x:c>
      <x:c r="D55" t="str">
        <x:v>account050@portfolio.example</x:v>
      </x:c>
      <x:c r="E55" t="str">
        <x:v>SC</x:v>
      </x:c>
      <x:c r="F55" t="str">
        <x:v>2026-10-24</x:v>
      </x:c>
      <x:c r="G55" t="str">
        <x:v>web_form</x:v>
      </x:c>
      <x:c r="H55" t="str">
        <x:f>LOWER(TRIM(D55))</x:f>
        <x:v>account050@portfolio.example</x:v>
      </x:c>
      <x:c r="I55" t="str">
        <x:f>IF(AND(LEN(H55)&gt;3,ISNUMBER(SEARCH("@",H55)),ISNUMBER(SEARCH(".",H55))),"YES","NO")</x:f>
        <x:v>YES</x:v>
      </x:c>
      <x:c r="J55" t="n">
        <x:f>IF(H55="",0,COUNTIF($H$6:H55,H55))</x:f>
        <x:v>1</x:v>
      </x:c>
      <x:c r="K55" t="str">
        <x:f>IF(I55="NO","HOLD",IF(J55&gt;1,"DUPLICATE","APPROVED"))</x:f>
        <x:v>APPROVED</x:v>
      </x:c>
      <x:c r="L55" t="n">
        <x:f>IF(K55="APPROVED",1,0)</x:f>
        <x:v>1</x:v>
      </x:c>
    </x:row>
    <x:row r="56" ht="19" customHeight="1">
      <x:c r="A56" t="str">
        <x:v>B-051</x:v>
      </x:c>
      <x:c r="B56" t="str">
        <x:v>Frostline IT Services 051</x:v>
      </x:c>
      <x:c r="C56" t="str">
        <x:v>Ari Lee</x:v>
      </x:c>
      <x:c r="D56" t="str">
        <x:v>account051@portfolio.example</x:v>
      </x:c>
      <x:c r="E56" t="str">
        <x:v>VA</x:v>
      </x:c>
      <x:c r="F56" t="str">
        <x:v>2026-10-25</x:v>
      </x:c>
      <x:c r="G56" t="str">
        <x:v>web_form</x:v>
      </x:c>
      <x:c r="H56" t="str">
        <x:f>LOWER(TRIM(D56))</x:f>
        <x:v>account051@portfolio.example</x:v>
      </x:c>
      <x:c r="I56" t="str">
        <x:f>IF(AND(LEN(H56)&gt;3,ISNUMBER(SEARCH("@",H56)),ISNUMBER(SEARCH(".",H56))),"YES","NO")</x:f>
        <x:v>YES</x:v>
      </x:c>
      <x:c r="J56" t="n">
        <x:f>IF(H56="",0,COUNTIF($H$6:H56,H56))</x:f>
        <x:v>1</x:v>
      </x:c>
      <x:c r="K56" t="str">
        <x:f>IF(I56="NO","HOLD",IF(J56&gt;1,"DUPLICATE","APPROVED"))</x:f>
        <x:v>APPROVED</x:v>
      </x:c>
      <x:c r="L56" t="n">
        <x:f>IF(K56="APPROVED",1,0)</x:f>
        <x:v>1</x:v>
      </x:c>
    </x:row>
    <x:row r="57" ht="19" customHeight="1">
      <x:c r="A57" t="str">
        <x:v>B-052</x:v>
      </x:c>
      <x:c r="B57" t="str">
        <x:v>Summit IT Services 052</x:v>
      </x:c>
      <x:c r="C57" t="str">
        <x:v>Dana Parker</x:v>
      </x:c>
      <x:c r="D57" t="str">
        <x:v>account052@portfolio.example</x:v>
      </x:c>
      <x:c r="E57" t="str">
        <x:v>GA</x:v>
      </x:c>
      <x:c r="F57" t="str">
        <x:v>2026-10-26</x:v>
      </x:c>
      <x:c r="G57" t="str">
        <x:v>web_form</x:v>
      </x:c>
      <x:c r="H57" t="str">
        <x:f>LOWER(TRIM(D57))</x:f>
        <x:v>account052@portfolio.example</x:v>
      </x:c>
      <x:c r="I57" t="str">
        <x:f>IF(AND(LEN(H57)&gt;3,ISNUMBER(SEARCH("@",H57)),ISNUMBER(SEARCH(".",H57))),"YES","NO")</x:f>
        <x:v>YES</x:v>
      </x:c>
      <x:c r="J57" t="n">
        <x:f>IF(H57="",0,COUNTIF($H$6:H57,H57))</x:f>
        <x:v>1</x:v>
      </x:c>
      <x:c r="K57" t="str">
        <x:f>IF(I57="NO","HOLD",IF(J57&gt;1,"DUPLICATE","APPROVED"))</x:f>
        <x:v>APPROVED</x:v>
      </x:c>
      <x:c r="L57" t="n">
        <x:f>IF(K57="APPROVED",1,0)</x:f>
        <x:v>1</x:v>
      </x:c>
    </x:row>
    <x:row r="58" ht="19" customHeight="1">
      <x:c r="A58" t="str">
        <x:v>B-053</x:v>
      </x:c>
      <x:c r="B58" t="str">
        <x:v>Pinefield IT Services 053</x:v>
      </x:c>
      <x:c r="C58" t="str">
        <x:v>Mica West</x:v>
      </x:c>
      <x:c r="D58" t="str">
        <x:v>account053@portfolio.example</x:v>
      </x:c>
      <x:c r="E58" t="str">
        <x:v>FL</x:v>
      </x:c>
      <x:c r="F58" t="str">
        <x:v>2026-10-01</x:v>
      </x:c>
      <x:c r="G58" t="str">
        <x:v>web_form</x:v>
      </x:c>
      <x:c r="H58" t="str">
        <x:f>LOWER(TRIM(D58))</x:f>
        <x:v>account053@portfolio.example</x:v>
      </x:c>
      <x:c r="I58" t="str">
        <x:f>IF(AND(LEN(H58)&gt;3,ISNUMBER(SEARCH("@",H58)),ISNUMBER(SEARCH(".",H58))),"YES","NO")</x:f>
        <x:v>YES</x:v>
      </x:c>
      <x:c r="J58" t="n">
        <x:f>IF(H58="",0,COUNTIF($H$6:H58,H58))</x:f>
        <x:v>1</x:v>
      </x:c>
      <x:c r="K58" t="str">
        <x:f>IF(I58="NO","HOLD",IF(J58&gt;1,"DUPLICATE","APPROVED"))</x:f>
        <x:v>APPROVED</x:v>
      </x:c>
      <x:c r="L58" t="n">
        <x:f>IF(K58="APPROVED",1,0)</x:f>
        <x:v>1</x:v>
      </x:c>
    </x:row>
    <x:row r="59" ht="19" customHeight="1">
      <x:c r="A59" t="str">
        <x:v>B-054</x:v>
      </x:c>
      <x:c r="B59" t="str">
        <x:v>Mariner IT Services 054</x:v>
      </x:c>
      <x:c r="C59" t="str">
        <x:v>Noel Reed</x:v>
      </x:c>
      <x:c r="D59" t="str">
        <x:v>account054@portfolio.example</x:v>
      </x:c>
      <x:c r="E59" t="str">
        <x:v>TN</x:v>
      </x:c>
      <x:c r="F59" t="str">
        <x:v>2026-10-02</x:v>
      </x:c>
      <x:c r="G59" t="str">
        <x:v>web_form</x:v>
      </x:c>
      <x:c r="H59" t="str">
        <x:f>LOWER(TRIM(D59))</x:f>
        <x:v>account054@portfolio.example</x:v>
      </x:c>
      <x:c r="I59" t="str">
        <x:f>IF(AND(LEN(H59)&gt;3,ISNUMBER(SEARCH("@",H59)),ISNUMBER(SEARCH(".",H59))),"YES","NO")</x:f>
        <x:v>YES</x:v>
      </x:c>
      <x:c r="J59" t="n">
        <x:f>IF(H59="",0,COUNTIF($H$6:H59,H59))</x:f>
        <x:v>1</x:v>
      </x:c>
      <x:c r="K59" t="str">
        <x:f>IF(I59="NO","HOLD",IF(J59&gt;1,"DUPLICATE","APPROVED"))</x:f>
        <x:v>APPROVED</x:v>
      </x:c>
      <x:c r="L59" t="n">
        <x:f>IF(K59="APPROVED",1,0)</x:f>
        <x:v>1</x:v>
      </x:c>
    </x:row>
    <x:row r="60" ht="19" customHeight="1">
      <x:c r="A60" t="str">
        <x:v>B-055</x:v>
      </x:c>
      <x:c r="B60" t="str">
        <x:v>White Oak IT Services 055</x:v>
      </x:c>
      <x:c r="C60" t="str">
        <x:v>Jules Patel</x:v>
      </x:c>
      <x:c r="D60" t="str">
        <x:v>account055@portfolio.example</x:v>
      </x:c>
      <x:c r="E60" t="str">
        <x:v>TX</x:v>
      </x:c>
      <x:c r="F60" t="str">
        <x:v>2026-10-03</x:v>
      </x:c>
      <x:c r="G60" t="str">
        <x:v>web_form</x:v>
      </x:c>
      <x:c r="H60" t="str">
        <x:f>LOWER(TRIM(D60))</x:f>
        <x:v>account055@portfolio.example</x:v>
      </x:c>
      <x:c r="I60" t="str">
        <x:f>IF(AND(LEN(H60)&gt;3,ISNUMBER(SEARCH("@",H60)),ISNUMBER(SEARCH(".",H60))),"YES","NO")</x:f>
        <x:v>YES</x:v>
      </x:c>
      <x:c r="J60" t="n">
        <x:f>IF(H60="",0,COUNTIF($H$6:H60,H60))</x:f>
        <x:v>1</x:v>
      </x:c>
      <x:c r="K60" t="str">
        <x:f>IF(I60="NO","HOLD",IF(J60&gt;1,"DUPLICATE","APPROVED"))</x:f>
        <x:v>APPROVED</x:v>
      </x:c>
      <x:c r="L60" t="n">
        <x:f>IF(K60="APPROVED",1,0)</x:f>
        <x:v>1</x:v>
      </x:c>
    </x:row>
    <x:row r="61" ht="19" customHeight="1">
      <x:c r="A61" t="str">
        <x:v>B-056</x:v>
      </x:c>
      <x:c r="B61" t="str">
        <x:v>Silvercrest IT Services 056</x:v>
      </x:c>
      <x:c r="C61" t="str">
        <x:v>Taylor Ford</x:v>
      </x:c>
      <x:c r="D61" t="str">
        <x:v>account056@portfolio.example</x:v>
      </x:c>
      <x:c r="E61" t="str">
        <x:v>MD</x:v>
      </x:c>
      <x:c r="F61" t="str">
        <x:v>2026-10-04</x:v>
      </x:c>
      <x:c r="G61" t="str">
        <x:v>web_form</x:v>
      </x:c>
      <x:c r="H61" t="str">
        <x:f>LOWER(TRIM(D61))</x:f>
        <x:v>account056@portfolio.example</x:v>
      </x:c>
      <x:c r="I61" t="str">
        <x:f>IF(AND(LEN(H61)&gt;3,ISNUMBER(SEARCH("@",H61)),ISNUMBER(SEARCH(".",H61))),"YES","NO")</x:f>
        <x:v>YES</x:v>
      </x:c>
      <x:c r="J61" t="n">
        <x:f>IF(H61="",0,COUNTIF($H$6:H61,H61))</x:f>
        <x:v>1</x:v>
      </x:c>
      <x:c r="K61" t="str">
        <x:f>IF(I61="NO","HOLD",IF(J61&gt;1,"DUPLICATE","APPROVED"))</x:f>
        <x:v>APPROVED</x:v>
      </x:c>
      <x:c r="L61" t="n">
        <x:f>IF(K61="APPROVED",1,0)</x:f>
        <x:v>1</x:v>
      </x:c>
    </x:row>
    <x:row r="62" ht="19" customHeight="1">
      <x:c r="A62" t="str">
        <x:v>B-057</x:v>
      </x:c>
      <x:c r="B62" t="str">
        <x:v>Ironwood IT Services 057</x:v>
      </x:c>
      <x:c r="C62" t="str">
        <x:v>Remy Morgan</x:v>
      </x:c>
      <x:c r="D62" t="str">
        <x:v>account057@portfolio.example</x:v>
      </x:c>
      <x:c r="E62" t="str">
        <x:v>NC</x:v>
      </x:c>
      <x:c r="F62" t="str">
        <x:v>2026-10-05</x:v>
      </x:c>
      <x:c r="G62" t="str">
        <x:v>web_form</x:v>
      </x:c>
      <x:c r="H62" t="str">
        <x:f>LOWER(TRIM(D62))</x:f>
        <x:v>account057@portfolio.example</x:v>
      </x:c>
      <x:c r="I62" t="str">
        <x:f>IF(AND(LEN(H62)&gt;3,ISNUMBER(SEARCH("@",H62)),ISNUMBER(SEARCH(".",H62))),"YES","NO")</x:f>
        <x:v>YES</x:v>
      </x:c>
      <x:c r="J62" t="n">
        <x:f>IF(H62="",0,COUNTIF($H$6:H62,H62))</x:f>
        <x:v>1</x:v>
      </x:c>
      <x:c r="K62" t="str">
        <x:f>IF(I62="NO","HOLD",IF(J62&gt;1,"DUPLICATE","APPROVED"))</x:f>
        <x:v>APPROVED</x:v>
      </x:c>
      <x:c r="L62" t="n">
        <x:f>IF(K62="APPROVED",1,0)</x:f>
        <x:v>1</x:v>
      </x:c>
    </x:row>
    <x:row r="63" ht="19" customHeight="1">
      <x:c r="A63" t="str">
        <x:v>B-058</x:v>
      </x:c>
      <x:c r="B63" t="str">
        <x:v>Clearwater IT Services 058</x:v>
      </x:c>
      <x:c r="C63" t="str">
        <x:v>Morgan Lee</x:v>
      </x:c>
      <x:c r="D63" t="str">
        <x:v>account058@portfolio.example</x:v>
      </x:c>
      <x:c r="E63" t="str">
        <x:v>SC</x:v>
      </x:c>
      <x:c r="F63" t="str">
        <x:v>2026-10-06</x:v>
      </x:c>
      <x:c r="G63" t="str">
        <x:v>web_form</x:v>
      </x:c>
      <x:c r="H63" t="str">
        <x:f>LOWER(TRIM(D63))</x:f>
        <x:v>account058@portfolio.example</x:v>
      </x:c>
      <x:c r="I63" t="str">
        <x:f>IF(AND(LEN(H63)&gt;3,ISNUMBER(SEARCH("@",H63)),ISNUMBER(SEARCH(".",H63))),"YES","NO")</x:f>
        <x:v>YES</x:v>
      </x:c>
      <x:c r="J63" t="n">
        <x:f>IF(H63="",0,COUNTIF($H$6:H63,H63))</x:f>
        <x:v>1</x:v>
      </x:c>
      <x:c r="K63" t="str">
        <x:f>IF(I63="NO","HOLD",IF(J63&gt;1,"DUPLICATE","APPROVED"))</x:f>
        <x:v>APPROVED</x:v>
      </x:c>
      <x:c r="L63" t="n">
        <x:f>IF(K63="APPROVED",1,0)</x:f>
        <x:v>1</x:v>
      </x:c>
    </x:row>
    <x:row r="64" ht="19" customHeight="1">
      <x:c r="A64" t="str">
        <x:v>B-059</x:v>
      </x:c>
      <x:c r="B64" t="str">
        <x:v>Stonebridge IT Services 059</x:v>
      </x:c>
      <x:c r="C64" t="str">
        <x:v>Quinn Parker</x:v>
      </x:c>
      <x:c r="D64" t="str">
        <x:v>account059@portfolio.example</x:v>
      </x:c>
      <x:c r="E64" t="str">
        <x:v>VA</x:v>
      </x:c>
      <x:c r="F64" t="str">
        <x:v>2026-10-07</x:v>
      </x:c>
      <x:c r="G64" t="str">
        <x:v>web_form</x:v>
      </x:c>
      <x:c r="H64" t="str">
        <x:f>LOWER(TRIM(D64))</x:f>
        <x:v>account059@portfolio.example</x:v>
      </x:c>
      <x:c r="I64" t="str">
        <x:f>IF(AND(LEN(H64)&gt;3,ISNUMBER(SEARCH("@",H64)),ISNUMBER(SEARCH(".",H64))),"YES","NO")</x:f>
        <x:v>YES</x:v>
      </x:c>
      <x:c r="J64" t="n">
        <x:f>IF(H64="",0,COUNTIF($H$6:H64,H64))</x:f>
        <x:v>1</x:v>
      </x:c>
      <x:c r="K64" t="str">
        <x:f>IF(I64="NO","HOLD",IF(J64&gt;1,"DUPLICATE","APPROVED"))</x:f>
        <x:v>APPROVED</x:v>
      </x:c>
      <x:c r="L64" t="n">
        <x:f>IF(K64="APPROVED",1,0)</x:f>
        <x:v>1</x:v>
      </x:c>
    </x:row>
    <x:row r="65" ht="19" customHeight="1">
      <x:c r="A65" t="str">
        <x:v>B-060</x:v>
      </x:c>
      <x:c r="B65" t="str">
        <x:v>Brighton IT Services 060</x:v>
      </x:c>
      <x:c r="C65" t="str">
        <x:v>Eli West</x:v>
      </x:c>
      <x:c r="D65" t="str">
        <x:v>account060@portfolio.example</x:v>
      </x:c>
      <x:c r="E65" t="str">
        <x:v>GA</x:v>
      </x:c>
      <x:c r="F65" t="str">
        <x:v>2026-10-08</x:v>
      </x:c>
      <x:c r="G65" t="str">
        <x:v>web_form</x:v>
      </x:c>
      <x:c r="H65" t="str">
        <x:f>LOWER(TRIM(D65))</x:f>
        <x:v>account060@portfolio.example</x:v>
      </x:c>
      <x:c r="I65" t="str">
        <x:f>IF(AND(LEN(H65)&gt;3,ISNUMBER(SEARCH("@",H65)),ISNUMBER(SEARCH(".",H65))),"YES","NO")</x:f>
        <x:v>YES</x:v>
      </x:c>
      <x:c r="J65" t="n">
        <x:f>IF(H65="",0,COUNTIF($H$6:H65,H65))</x:f>
        <x:v>1</x:v>
      </x:c>
      <x:c r="K65" t="str">
        <x:f>IF(I65="NO","HOLD",IF(J65&gt;1,"DUPLICATE","APPROVED"))</x:f>
        <x:v>APPROVED</x:v>
      </x:c>
      <x:c r="L65" t="n">
        <x:f>IF(K65="APPROVED",1,0)</x:f>
        <x:v>1</x:v>
      </x:c>
    </x:row>
    <x:row r="66" ht="19" customHeight="1">
      <x:c r="A66" t="str">
        <x:v>B-061</x:v>
      </x:c>
      <x:c r="B66" t="str">
        <x:v>Northfield Supply Group 061</x:v>
      </x:c>
      <x:c r="C66" t="str">
        <x:v>Ari Reed</x:v>
      </x:c>
      <x:c r="D66" t="str">
        <x:v>account061@portfolio.example</x:v>
      </x:c>
      <x:c r="E66" t="str">
        <x:v>FL</x:v>
      </x:c>
      <x:c r="F66" t="str">
        <x:v>2026-10-09</x:v>
      </x:c>
      <x:c r="G66" t="str">
        <x:v>web_form</x:v>
      </x:c>
      <x:c r="H66" t="str">
        <x:f>LOWER(TRIM(D66))</x:f>
        <x:v>account061@portfolio.example</x:v>
      </x:c>
      <x:c r="I66" t="str">
        <x:f>IF(AND(LEN(H66)&gt;3,ISNUMBER(SEARCH("@",H66)),ISNUMBER(SEARCH(".",H66))),"YES","NO")</x:f>
        <x:v>YES</x:v>
      </x:c>
      <x:c r="J66" t="n">
        <x:f>IF(H66="",0,COUNTIF($H$6:H66,H66))</x:f>
        <x:v>1</x:v>
      </x:c>
      <x:c r="K66" t="str">
        <x:f>IF(I66="NO","HOLD",IF(J66&gt;1,"DUPLICATE","APPROVED"))</x:f>
        <x:v>APPROVED</x:v>
      </x:c>
      <x:c r="L66" t="n">
        <x:f>IF(K66="APPROVED",1,0)</x:f>
        <x:v>1</x:v>
      </x:c>
    </x:row>
    <x:row r="67" ht="19" customHeight="1">
      <x:c r="A67" t="str">
        <x:v>B-062</x:v>
      </x:c>
      <x:c r="B67" t="str">
        <x:v>Cedarwood Supply Group 062</x:v>
      </x:c>
      <x:c r="C67" t="str">
        <x:v>Dana Patel</x:v>
      </x:c>
      <x:c r="D67" t="str">
        <x:v>account062@portfolio.example</x:v>
      </x:c>
      <x:c r="E67" t="str">
        <x:v>TN</x:v>
      </x:c>
      <x:c r="F67" t="str">
        <x:v>2026-10-10</x:v>
      </x:c>
      <x:c r="G67" t="str">
        <x:v>web_form</x:v>
      </x:c>
      <x:c r="H67" t="str">
        <x:f>LOWER(TRIM(D67))</x:f>
        <x:v>account062@portfolio.example</x:v>
      </x:c>
      <x:c r="I67" t="str">
        <x:f>IF(AND(LEN(H67)&gt;3,ISNUMBER(SEARCH("@",H67)),ISNUMBER(SEARCH(".",H67))),"YES","NO")</x:f>
        <x:v>YES</x:v>
      </x:c>
      <x:c r="J67" t="n">
        <x:f>IF(H67="",0,COUNTIF($H$6:H67,H67))</x:f>
        <x:v>1</x:v>
      </x:c>
      <x:c r="K67" t="str">
        <x:f>IF(I67="NO","HOLD",IF(J67&gt;1,"DUPLICATE","APPROVED"))</x:f>
        <x:v>APPROVED</x:v>
      </x:c>
      <x:c r="L67" t="n">
        <x:f>IF(K67="APPROVED",1,0)</x:f>
        <x:v>1</x:v>
      </x:c>
    </x:row>
    <x:row r="68" ht="19" customHeight="1">
      <x:c r="A68" t="str">
        <x:v>B-063</x:v>
      </x:c>
      <x:c r="B68" t="str">
        <x:v>Brookline Supply Group 063</x:v>
      </x:c>
      <x:c r="C68" t="str">
        <x:v>Mica Ford</x:v>
      </x:c>
      <x:c r="D68" t="str">
        <x:v>account063@portfolio.example</x:v>
      </x:c>
      <x:c r="E68" t="str">
        <x:v>TX</x:v>
      </x:c>
      <x:c r="F68" t="str">
        <x:v>2026-10-11</x:v>
      </x:c>
      <x:c r="G68" t="str">
        <x:v>web_form</x:v>
      </x:c>
      <x:c r="H68" t="str">
        <x:f>LOWER(TRIM(D68))</x:f>
        <x:v>account063@portfolio.example</x:v>
      </x:c>
      <x:c r="I68" t="str">
        <x:f>IF(AND(LEN(H68)&gt;3,ISNUMBER(SEARCH("@",H68)),ISNUMBER(SEARCH(".",H68))),"YES","NO")</x:f>
        <x:v>YES</x:v>
      </x:c>
      <x:c r="J68" t="n">
        <x:f>IF(H68="",0,COUNTIF($H$6:H68,H68))</x:f>
        <x:v>1</x:v>
      </x:c>
      <x:c r="K68" t="str">
        <x:f>IF(I68="NO","HOLD",IF(J68&gt;1,"DUPLICATE","APPROVED"))</x:f>
        <x:v>APPROVED</x:v>
      </x:c>
      <x:c r="L68" t="n">
        <x:f>IF(K68="APPROVED",1,0)</x:f>
        <x:v>1</x:v>
      </x:c>
    </x:row>
    <x:row r="69" ht="19" customHeight="1">
      <x:c r="A69" t="str">
        <x:v>B-064</x:v>
      </x:c>
      <x:c r="B69" t="str">
        <x:v>Sable Supply Group 064</x:v>
      </x:c>
      <x:c r="C69" t="str">
        <x:v>Noel Morgan</x:v>
      </x:c>
      <x:c r="D69" t="str">
        <x:v>account064@portfolio.example</x:v>
      </x:c>
      <x:c r="E69" t="str">
        <x:v>MD</x:v>
      </x:c>
      <x:c r="F69" t="str">
        <x:v>2026-10-12</x:v>
      </x:c>
      <x:c r="G69" t="str">
        <x:v>web_form</x:v>
      </x:c>
      <x:c r="H69" t="str">
        <x:f>LOWER(TRIM(D69))</x:f>
        <x:v>account064@portfolio.example</x:v>
      </x:c>
      <x:c r="I69" t="str">
        <x:f>IF(AND(LEN(H69)&gt;3,ISNUMBER(SEARCH("@",H69)),ISNUMBER(SEARCH(".",H69))),"YES","NO")</x:f>
        <x:v>YES</x:v>
      </x:c>
      <x:c r="J69" t="n">
        <x:f>IF(H69="",0,COUNTIF($H$6:H69,H69))</x:f>
        <x:v>1</x:v>
      </x:c>
      <x:c r="K69" t="str">
        <x:f>IF(I69="NO","HOLD",IF(J69&gt;1,"DUPLICATE","APPROVED"))</x:f>
        <x:v>APPROVED</x:v>
      </x:c>
      <x:c r="L69" t="n">
        <x:f>IF(K69="APPROVED",1,0)</x:f>
        <x:v>1</x:v>
      </x:c>
    </x:row>
    <x:row r="70" ht="19" customHeight="1">
      <x:c r="A70" t="str">
        <x:v>B-065</x:v>
      </x:c>
      <x:c r="B70" t="str">
        <x:v>Everview Supply Group 065</x:v>
      </x:c>
      <x:c r="C70" t="str">
        <x:v>Jules Lee</x:v>
      </x:c>
      <x:c r="D70" t="str">
        <x:v>account065@portfolio.example</x:v>
      </x:c>
      <x:c r="E70" t="str">
        <x:v>NC</x:v>
      </x:c>
      <x:c r="F70" t="str">
        <x:v>2026-10-13</x:v>
      </x:c>
      <x:c r="G70" t="str">
        <x:v>web_form</x:v>
      </x:c>
      <x:c r="H70" t="str">
        <x:f>LOWER(TRIM(D70))</x:f>
        <x:v>account065@portfolio.example</x:v>
      </x:c>
      <x:c r="I70" t="str">
        <x:f>IF(AND(LEN(H70)&gt;3,ISNUMBER(SEARCH("@",H70)),ISNUMBER(SEARCH(".",H70))),"YES","NO")</x:f>
        <x:v>YES</x:v>
      </x:c>
      <x:c r="J70" t="n">
        <x:f>IF(H70="",0,COUNTIF($H$6:H70,H70))</x:f>
        <x:v>1</x:v>
      </x:c>
      <x:c r="K70" t="str">
        <x:f>IF(I70="NO","HOLD",IF(J70&gt;1,"DUPLICATE","APPROVED"))</x:f>
        <x:v>APPROVED</x:v>
      </x:c>
      <x:c r="L70" t="n">
        <x:f>IF(K70="APPROVED",1,0)</x:f>
        <x:v>1</x:v>
      </x:c>
    </x:row>
    <x:row r="71" ht="19" customHeight="1">
      <x:c r="A71" t="str">
        <x:v>B-066</x:v>
      </x:c>
      <x:c r="B71" t="str">
        <x:v>Frostline Supply Group 066</x:v>
      </x:c>
      <x:c r="C71" t="str">
        <x:v>Taylor Parker</x:v>
      </x:c>
      <x:c r="D71" t="str">
        <x:v>account066@portfolio.example</x:v>
      </x:c>
      <x:c r="E71" t="str">
        <x:v>SC</x:v>
      </x:c>
      <x:c r="F71" t="str">
        <x:v>2026-10-14</x:v>
      </x:c>
      <x:c r="G71" t="str">
        <x:v>web_form</x:v>
      </x:c>
      <x:c r="H71" t="str">
        <x:f>LOWER(TRIM(D71))</x:f>
        <x:v>account066@portfolio.example</x:v>
      </x:c>
      <x:c r="I71" t="str">
        <x:f>IF(AND(LEN(H71)&gt;3,ISNUMBER(SEARCH("@",H71)),ISNUMBER(SEARCH(".",H71))),"YES","NO")</x:f>
        <x:v>YES</x:v>
      </x:c>
      <x:c r="J71" t="n">
        <x:f>IF(H71="",0,COUNTIF($H$6:H71,H71))</x:f>
        <x:v>1</x:v>
      </x:c>
      <x:c r="K71" t="str">
        <x:f>IF(I71="NO","HOLD",IF(J71&gt;1,"DUPLICATE","APPROVED"))</x:f>
        <x:v>APPROVED</x:v>
      </x:c>
      <x:c r="L71" t="n">
        <x:f>IF(K71="APPROVED",1,0)</x:f>
        <x:v>1</x:v>
      </x:c>
    </x:row>
    <x:row r="72" ht="19" customHeight="1">
      <x:c r="A72" t="str">
        <x:v>B-067</x:v>
      </x:c>
      <x:c r="B72" t="str">
        <x:v>Summit Supply Group 067</x:v>
      </x:c>
      <x:c r="C72" t="str">
        <x:v>Remy West</x:v>
      </x:c>
      <x:c r="D72" t="str">
        <x:v>account067@portfolio.example</x:v>
      </x:c>
      <x:c r="E72" t="str">
        <x:v>VA</x:v>
      </x:c>
      <x:c r="F72" t="str">
        <x:v>2026-10-15</x:v>
      </x:c>
      <x:c r="G72" t="str">
        <x:v>web_form</x:v>
      </x:c>
      <x:c r="H72" t="str">
        <x:f>LOWER(TRIM(D72))</x:f>
        <x:v>account067@portfolio.example</x:v>
      </x:c>
      <x:c r="I72" t="str">
        <x:f>IF(AND(LEN(H72)&gt;3,ISNUMBER(SEARCH("@",H72)),ISNUMBER(SEARCH(".",H72))),"YES","NO")</x:f>
        <x:v>YES</x:v>
      </x:c>
      <x:c r="J72" t="n">
        <x:f>IF(H72="",0,COUNTIF($H$6:H72,H72))</x:f>
        <x:v>1</x:v>
      </x:c>
      <x:c r="K72" t="str">
        <x:f>IF(I72="NO","HOLD",IF(J72&gt;1,"DUPLICATE","APPROVED"))</x:f>
        <x:v>APPROVED</x:v>
      </x:c>
      <x:c r="L72" t="n">
        <x:f>IF(K72="APPROVED",1,0)</x:f>
        <x:v>1</x:v>
      </x:c>
    </x:row>
    <x:row r="73" ht="19" customHeight="1">
      <x:c r="A73" t="str">
        <x:v>B-068</x:v>
      </x:c>
      <x:c r="B73" t="str">
        <x:v>Pinefield Supply Group 068</x:v>
      </x:c>
      <x:c r="C73" t="str">
        <x:v>Morgan Reed</x:v>
      </x:c>
      <x:c r="D73" t="str">
        <x:v>account068@portfolio.example</x:v>
      </x:c>
      <x:c r="E73" t="str">
        <x:v>GA</x:v>
      </x:c>
      <x:c r="F73" t="str">
        <x:v>2026-10-16</x:v>
      </x:c>
      <x:c r="G73" t="str">
        <x:v>web_form</x:v>
      </x:c>
      <x:c r="H73" t="str">
        <x:f>LOWER(TRIM(D73))</x:f>
        <x:v>account068@portfolio.example</x:v>
      </x:c>
      <x:c r="I73" t="str">
        <x:f>IF(AND(LEN(H73)&gt;3,ISNUMBER(SEARCH("@",H73)),ISNUMBER(SEARCH(".",H73))),"YES","NO")</x:f>
        <x:v>YES</x:v>
      </x:c>
      <x:c r="J73" t="n">
        <x:f>IF(H73="",0,COUNTIF($H$6:H73,H73))</x:f>
        <x:v>1</x:v>
      </x:c>
      <x:c r="K73" t="str">
        <x:f>IF(I73="NO","HOLD",IF(J73&gt;1,"DUPLICATE","APPROVED"))</x:f>
        <x:v>APPROVED</x:v>
      </x:c>
      <x:c r="L73" t="n">
        <x:f>IF(K73="APPROVED",1,0)</x:f>
        <x:v>1</x:v>
      </x:c>
    </x:row>
    <x:row r="74" ht="19" customHeight="1">
      <x:c r="A74" t="str">
        <x:v>B-069</x:v>
      </x:c>
      <x:c r="B74" t="str">
        <x:v>Mariner Supply Group 069</x:v>
      </x:c>
      <x:c r="C74" t="str">
        <x:v>Quinn Patel</x:v>
      </x:c>
      <x:c r="D74" t="str">
        <x:v>account069@portfolio.example</x:v>
      </x:c>
      <x:c r="E74" t="str">
        <x:v>FL</x:v>
      </x:c>
      <x:c r="F74" t="str">
        <x:v>2026-10-17</x:v>
      </x:c>
      <x:c r="G74" t="str">
        <x:v>web_form</x:v>
      </x:c>
      <x:c r="H74" t="str">
        <x:f>LOWER(TRIM(D74))</x:f>
        <x:v>account069@portfolio.example</x:v>
      </x:c>
      <x:c r="I74" t="str">
        <x:f>IF(AND(LEN(H74)&gt;3,ISNUMBER(SEARCH("@",H74)),ISNUMBER(SEARCH(".",H74))),"YES","NO")</x:f>
        <x:v>YES</x:v>
      </x:c>
      <x:c r="J74" t="n">
        <x:f>IF(H74="",0,COUNTIF($H$6:H74,H74))</x:f>
        <x:v>1</x:v>
      </x:c>
      <x:c r="K74" t="str">
        <x:f>IF(I74="NO","HOLD",IF(J74&gt;1,"DUPLICATE","APPROVED"))</x:f>
        <x:v>APPROVED</x:v>
      </x:c>
      <x:c r="L74" t="n">
        <x:f>IF(K74="APPROVED",1,0)</x:f>
        <x:v>1</x:v>
      </x:c>
    </x:row>
    <x:row r="75" ht="19" customHeight="1">
      <x:c r="A75" t="str">
        <x:v>B-070</x:v>
      </x:c>
      <x:c r="B75" t="str">
        <x:v>White Oak Supply Group 070</x:v>
      </x:c>
      <x:c r="C75" t="str">
        <x:v>Eli Ford</x:v>
      </x:c>
      <x:c r="D75" t="str">
        <x:v>account070@portfolio.example</x:v>
      </x:c>
      <x:c r="E75" t="str">
        <x:v>TN</x:v>
      </x:c>
      <x:c r="F75" t="str">
        <x:v>2026-10-18</x:v>
      </x:c>
      <x:c r="G75" t="str">
        <x:v>web_form</x:v>
      </x:c>
      <x:c r="H75" t="str">
        <x:f>LOWER(TRIM(D75))</x:f>
        <x:v>account070@portfolio.example</x:v>
      </x:c>
      <x:c r="I75" t="str">
        <x:f>IF(AND(LEN(H75)&gt;3,ISNUMBER(SEARCH("@",H75)),ISNUMBER(SEARCH(".",H75))),"YES","NO")</x:f>
        <x:v>YES</x:v>
      </x:c>
      <x:c r="J75" t="n">
        <x:f>IF(H75="",0,COUNTIF($H$6:H75,H75))</x:f>
        <x:v>1</x:v>
      </x:c>
      <x:c r="K75" t="str">
        <x:f>IF(I75="NO","HOLD",IF(J75&gt;1,"DUPLICATE","APPROVED"))</x:f>
        <x:v>APPROVED</x:v>
      </x:c>
      <x:c r="L75" t="n">
        <x:f>IF(K75="APPROVED",1,0)</x:f>
        <x:v>1</x:v>
      </x:c>
    </x:row>
    <x:row r="76" ht="19" customHeight="1">
      <x:c r="A76" t="str">
        <x:v>B-071</x:v>
      </x:c>
      <x:c r="B76" t="str">
        <x:v>Silvercrest Supply Group 071</x:v>
      </x:c>
      <x:c r="C76" t="str">
        <x:v>Ari Morgan</x:v>
      </x:c>
      <x:c r="D76" t="str">
        <x:v>account071@portfolio.example</x:v>
      </x:c>
      <x:c r="E76" t="str">
        <x:v>TX</x:v>
      </x:c>
      <x:c r="F76" t="str">
        <x:v>2026-10-19</x:v>
      </x:c>
      <x:c r="G76" t="str">
        <x:v>web_form</x:v>
      </x:c>
      <x:c r="H76" t="str">
        <x:f>LOWER(TRIM(D76))</x:f>
        <x:v>account071@portfolio.example</x:v>
      </x:c>
      <x:c r="I76" t="str">
        <x:f>IF(AND(LEN(H76)&gt;3,ISNUMBER(SEARCH("@",H76)),ISNUMBER(SEARCH(".",H76))),"YES","NO")</x:f>
        <x:v>YES</x:v>
      </x:c>
      <x:c r="J76" t="n">
        <x:f>IF(H76="",0,COUNTIF($H$6:H76,H76))</x:f>
        <x:v>1</x:v>
      </x:c>
      <x:c r="K76" t="str">
        <x:f>IF(I76="NO","HOLD",IF(J76&gt;1,"DUPLICATE","APPROVED"))</x:f>
        <x:v>APPROVED</x:v>
      </x:c>
      <x:c r="L76" t="n">
        <x:f>IF(K76="APPROVED",1,0)</x:f>
        <x:v>1</x:v>
      </x:c>
    </x:row>
    <x:row r="77" ht="19" customHeight="1">
      <x:c r="A77" t="str">
        <x:v>B-072</x:v>
      </x:c>
      <x:c r="B77" t="str">
        <x:v>Ironwood Supply Group 072</x:v>
      </x:c>
      <x:c r="C77" t="str">
        <x:v>Dana Lee</x:v>
      </x:c>
      <x:c r="D77" t="str">
        <x:v>account072@portfolio.example</x:v>
      </x:c>
      <x:c r="E77" t="str">
        <x:v>MD</x:v>
      </x:c>
      <x:c r="F77" t="str">
        <x:v>2026-10-20</x:v>
      </x:c>
      <x:c r="G77" t="str">
        <x:v>web_form</x:v>
      </x:c>
      <x:c r="H77" t="str">
        <x:f>LOWER(TRIM(D77))</x:f>
        <x:v>account072@portfolio.example</x:v>
      </x:c>
      <x:c r="I77" t="str">
        <x:f>IF(AND(LEN(H77)&gt;3,ISNUMBER(SEARCH("@",H77)),ISNUMBER(SEARCH(".",H77))),"YES","NO")</x:f>
        <x:v>YES</x:v>
      </x:c>
      <x:c r="J77" t="n">
        <x:f>IF(H77="",0,COUNTIF($H$6:H77,H77))</x:f>
        <x:v>1</x:v>
      </x:c>
      <x:c r="K77" t="str">
        <x:f>IF(I77="NO","HOLD",IF(J77&gt;1,"DUPLICATE","APPROVED"))</x:f>
        <x:v>APPROVED</x:v>
      </x:c>
      <x:c r="L77" t="n">
        <x:f>IF(K77="APPROVED",1,0)</x:f>
        <x:v>1</x:v>
      </x:c>
    </x:row>
    <x:row r="78" ht="19" customHeight="1">
      <x:c r="A78" t="str">
        <x:v>B-073</x:v>
      </x:c>
      <x:c r="B78" t="str">
        <x:v>Clearwater Supply Group 073</x:v>
      </x:c>
      <x:c r="C78" t="str">
        <x:v>Mica Parker</x:v>
      </x:c>
      <x:c r="D78" t="str">
        <x:v>account073@portfolio.example</x:v>
      </x:c>
      <x:c r="E78" t="str">
        <x:v>NC</x:v>
      </x:c>
      <x:c r="F78" t="str">
        <x:v>2026-10-21</x:v>
      </x:c>
      <x:c r="G78" t="str">
        <x:v>web_form</x:v>
      </x:c>
      <x:c r="H78" t="str">
        <x:f>LOWER(TRIM(D78))</x:f>
        <x:v>account073@portfolio.example</x:v>
      </x:c>
      <x:c r="I78" t="str">
        <x:f>IF(AND(LEN(H78)&gt;3,ISNUMBER(SEARCH("@",H78)),ISNUMBER(SEARCH(".",H78))),"YES","NO")</x:f>
        <x:v>YES</x:v>
      </x:c>
      <x:c r="J78" t="n">
        <x:f>IF(H78="",0,COUNTIF($H$6:H78,H78))</x:f>
        <x:v>1</x:v>
      </x:c>
      <x:c r="K78" t="str">
        <x:f>IF(I78="NO","HOLD",IF(J78&gt;1,"DUPLICATE","APPROVED"))</x:f>
        <x:v>APPROVED</x:v>
      </x:c>
      <x:c r="L78" t="n">
        <x:f>IF(K78="APPROVED",1,0)</x:f>
        <x:v>1</x:v>
      </x:c>
    </x:row>
    <x:row r="79" ht="19" customHeight="1">
      <x:c r="A79" t="str">
        <x:v>B-074</x:v>
      </x:c>
      <x:c r="B79" t="str">
        <x:v>Stonebridge Supply Group 074</x:v>
      </x:c>
      <x:c r="C79" t="str">
        <x:v>Noel West</x:v>
      </x:c>
      <x:c r="D79" t="str">
        <x:v>account074@portfolio.example</x:v>
      </x:c>
      <x:c r="E79" t="str">
        <x:v>SC</x:v>
      </x:c>
      <x:c r="F79" t="str">
        <x:v>2026-10-22</x:v>
      </x:c>
      <x:c r="G79" t="str">
        <x:v>web_form</x:v>
      </x:c>
      <x:c r="H79" t="str">
        <x:f>LOWER(TRIM(D79))</x:f>
        <x:v>account074@portfolio.example</x:v>
      </x:c>
      <x:c r="I79" t="str">
        <x:f>IF(AND(LEN(H79)&gt;3,ISNUMBER(SEARCH("@",H79)),ISNUMBER(SEARCH(".",H79))),"YES","NO")</x:f>
        <x:v>YES</x:v>
      </x:c>
      <x:c r="J79" t="n">
        <x:f>IF(H79="",0,COUNTIF($H$6:H79,H79))</x:f>
        <x:v>1</x:v>
      </x:c>
      <x:c r="K79" t="str">
        <x:f>IF(I79="NO","HOLD",IF(J79&gt;1,"DUPLICATE","APPROVED"))</x:f>
        <x:v>APPROVED</x:v>
      </x:c>
      <x:c r="L79" t="n">
        <x:f>IF(K79="APPROVED",1,0)</x:f>
        <x:v>1</x:v>
      </x:c>
    </x:row>
    <x:row r="80" ht="19" customHeight="1">
      <x:c r="A80" t="str">
        <x:v>B-075</x:v>
      </x:c>
      <x:c r="B80" t="str">
        <x:v>Brighton Supply Group 075</x:v>
      </x:c>
      <x:c r="C80" t="str">
        <x:v>Jules Reed</x:v>
      </x:c>
      <x:c r="D80" t="str">
        <x:v>account075@portfolio.example</x:v>
      </x:c>
      <x:c r="E80" t="str">
        <x:v>VA</x:v>
      </x:c>
      <x:c r="F80" t="str">
        <x:v>2026-10-23</x:v>
      </x:c>
      <x:c r="G80" t="str">
        <x:v>web_form</x:v>
      </x:c>
      <x:c r="H80" t="str">
        <x:f>LOWER(TRIM(D80))</x:f>
        <x:v>account075@portfolio.example</x:v>
      </x:c>
      <x:c r="I80" t="str">
        <x:f>IF(AND(LEN(H80)&gt;3,ISNUMBER(SEARCH("@",H80)),ISNUMBER(SEARCH(".",H80))),"YES","NO")</x:f>
        <x:v>YES</x:v>
      </x:c>
      <x:c r="J80" t="n">
        <x:f>IF(H80="",0,COUNTIF($H$6:H80,H80))</x:f>
        <x:v>1</x:v>
      </x:c>
      <x:c r="K80" t="str">
        <x:f>IF(I80="NO","HOLD",IF(J80&gt;1,"DUPLICATE","APPROVED"))</x:f>
        <x:v>APPROVED</x:v>
      </x:c>
      <x:c r="L80" t="n">
        <x:f>IF(K80="APPROVED",1,0)</x:f>
        <x:v>1</x:v>
      </x:c>
    </x:row>
    <x:row r="81" ht="19" customHeight="1">
      <x:c r="A81" t="str">
        <x:v>B-076</x:v>
      </x:c>
      <x:c r="B81" t="str">
        <x:v>Northfield Analytics 076</x:v>
      </x:c>
      <x:c r="C81" t="str">
        <x:v>Taylor Patel</x:v>
      </x:c>
      <x:c r="D81" t="str">
        <x:v>account076@portfolio.example</x:v>
      </x:c>
      <x:c r="E81" t="str">
        <x:v>GA</x:v>
      </x:c>
      <x:c r="F81" t="str">
        <x:v>2026-10-24</x:v>
      </x:c>
      <x:c r="G81" t="str">
        <x:v>web_form</x:v>
      </x:c>
      <x:c r="H81" t="str">
        <x:f>LOWER(TRIM(D81))</x:f>
        <x:v>account076@portfolio.example</x:v>
      </x:c>
      <x:c r="I81" t="str">
        <x:f>IF(AND(LEN(H81)&gt;3,ISNUMBER(SEARCH("@",H81)),ISNUMBER(SEARCH(".",H81))),"YES","NO")</x:f>
        <x:v>YES</x:v>
      </x:c>
      <x:c r="J81" t="n">
        <x:f>IF(H81="",0,COUNTIF($H$6:H81,H81))</x:f>
        <x:v>1</x:v>
      </x:c>
      <x:c r="K81" t="str">
        <x:f>IF(I81="NO","HOLD",IF(J81&gt;1,"DUPLICATE","APPROVED"))</x:f>
        <x:v>APPROVED</x:v>
      </x:c>
      <x:c r="L81" t="n">
        <x:f>IF(K81="APPROVED",1,0)</x:f>
        <x:v>1</x:v>
      </x:c>
    </x:row>
    <x:row r="82" ht="19" customHeight="1">
      <x:c r="A82" t="str">
        <x:v>B-077</x:v>
      </x:c>
      <x:c r="B82" t="str">
        <x:v>Cedarwood Analytics 077</x:v>
      </x:c>
      <x:c r="C82" t="str">
        <x:v>Remy Ford</x:v>
      </x:c>
      <x:c r="D82" t="str">
        <x:v>account077@portfolio.example</x:v>
      </x:c>
      <x:c r="E82" t="str">
        <x:v>FL</x:v>
      </x:c>
      <x:c r="F82" t="str">
        <x:v>2026-10-25</x:v>
      </x:c>
      <x:c r="G82" t="str">
        <x:v>web_form</x:v>
      </x:c>
      <x:c r="H82" t="str">
        <x:f>LOWER(TRIM(D82))</x:f>
        <x:v>account077@portfolio.example</x:v>
      </x:c>
      <x:c r="I82" t="str">
        <x:f>IF(AND(LEN(H82)&gt;3,ISNUMBER(SEARCH("@",H82)),ISNUMBER(SEARCH(".",H82))),"YES","NO")</x:f>
        <x:v>YES</x:v>
      </x:c>
      <x:c r="J82" t="n">
        <x:f>IF(H82="",0,COUNTIF($H$6:H82,H82))</x:f>
        <x:v>1</x:v>
      </x:c>
      <x:c r="K82" t="str">
        <x:f>IF(I82="NO","HOLD",IF(J82&gt;1,"DUPLICATE","APPROVED"))</x:f>
        <x:v>APPROVED</x:v>
      </x:c>
      <x:c r="L82" t="n">
        <x:f>IF(K82="APPROVED",1,0)</x:f>
        <x:v>1</x:v>
      </x:c>
    </x:row>
    <x:row r="83" ht="19" customHeight="1">
      <x:c r="A83" t="str">
        <x:v>B-078</x:v>
      </x:c>
      <x:c r="B83" t="str">
        <x:v>Brookline Analytics 078</x:v>
      </x:c>
      <x:c r="C83" t="str">
        <x:v>Morgan Morgan</x:v>
      </x:c>
      <x:c r="D83" t="str">
        <x:v>account078@portfolio.example</x:v>
      </x:c>
      <x:c r="E83" t="str">
        <x:v>TN</x:v>
      </x:c>
      <x:c r="F83" t="str">
        <x:v>2026-10-26</x:v>
      </x:c>
      <x:c r="G83" t="str">
        <x:v>web_form</x:v>
      </x:c>
      <x:c r="H83" t="str">
        <x:f>LOWER(TRIM(D83))</x:f>
        <x:v>account078@portfolio.example</x:v>
      </x:c>
      <x:c r="I83" t="str">
        <x:f>IF(AND(LEN(H83)&gt;3,ISNUMBER(SEARCH("@",H83)),ISNUMBER(SEARCH(".",H83))),"YES","NO")</x:f>
        <x:v>YES</x:v>
      </x:c>
      <x:c r="J83" t="n">
        <x:f>IF(H83="",0,COUNTIF($H$6:H83,H83))</x:f>
        <x:v>1</x:v>
      </x:c>
      <x:c r="K83" t="str">
        <x:f>IF(I83="NO","HOLD",IF(J83&gt;1,"DUPLICATE","APPROVED"))</x:f>
        <x:v>APPROVED</x:v>
      </x:c>
      <x:c r="L83" t="n">
        <x:f>IF(K83="APPROVED",1,0)</x:f>
        <x:v>1</x:v>
      </x:c>
    </x:row>
    <x:row r="84" ht="19" customHeight="1">
      <x:c r="A84" t="str">
        <x:v>B-079</x:v>
      </x:c>
      <x:c r="B84" t="str">
        <x:v>Sable Analytics 079</x:v>
      </x:c>
      <x:c r="C84" t="str">
        <x:v>Quinn Lee</x:v>
      </x:c>
      <x:c r="D84" t="str">
        <x:v>account079@portfolio.example</x:v>
      </x:c>
      <x:c r="E84" t="str">
        <x:v>TX</x:v>
      </x:c>
      <x:c r="F84" t="str">
        <x:v>2026-10-01</x:v>
      </x:c>
      <x:c r="G84" t="str">
        <x:v>web_form</x:v>
      </x:c>
      <x:c r="H84" t="str">
        <x:f>LOWER(TRIM(D84))</x:f>
        <x:v>account079@portfolio.example</x:v>
      </x:c>
      <x:c r="I84" t="str">
        <x:f>IF(AND(LEN(H84)&gt;3,ISNUMBER(SEARCH("@",H84)),ISNUMBER(SEARCH(".",H84))),"YES","NO")</x:f>
        <x:v>YES</x:v>
      </x:c>
      <x:c r="J84" t="n">
        <x:f>IF(H84="",0,COUNTIF($H$6:H84,H84))</x:f>
        <x:v>1</x:v>
      </x:c>
      <x:c r="K84" t="str">
        <x:f>IF(I84="NO","HOLD",IF(J84&gt;1,"DUPLICATE","APPROVED"))</x:f>
        <x:v>APPROVED</x:v>
      </x:c>
      <x:c r="L84" t="n">
        <x:f>IF(K84="APPROVED",1,0)</x:f>
        <x:v>1</x:v>
      </x:c>
    </x:row>
    <x:row r="85" ht="19" customHeight="1">
      <x:c r="A85" t="str">
        <x:v>B-080</x:v>
      </x:c>
      <x:c r="B85" t="str">
        <x:v>Everview Analytics 080</x:v>
      </x:c>
      <x:c r="C85" t="str">
        <x:v>Eli Parker</x:v>
      </x:c>
      <x:c r="D85" t="str">
        <x:v>account080@portfolio.example</x:v>
      </x:c>
      <x:c r="E85" t="str">
        <x:v>MD</x:v>
      </x:c>
      <x:c r="F85" t="str">
        <x:v>2026-10-02</x:v>
      </x:c>
      <x:c r="G85" t="str">
        <x:v>web_form</x:v>
      </x:c>
      <x:c r="H85" t="str">
        <x:f>LOWER(TRIM(D85))</x:f>
        <x:v>account080@portfolio.example</x:v>
      </x:c>
      <x:c r="I85" t="str">
        <x:f>IF(AND(LEN(H85)&gt;3,ISNUMBER(SEARCH("@",H85)),ISNUMBER(SEARCH(".",H85))),"YES","NO")</x:f>
        <x:v>YES</x:v>
      </x:c>
      <x:c r="J85" t="n">
        <x:f>IF(H85="",0,COUNTIF($H$6:H85,H85))</x:f>
        <x:v>1</x:v>
      </x:c>
      <x:c r="K85" t="str">
        <x:f>IF(I85="NO","HOLD",IF(J85&gt;1,"DUPLICATE","APPROVED"))</x:f>
        <x:v>APPROVED</x:v>
      </x:c>
      <x:c r="L85" t="n">
        <x:f>IF(K85="APPROVED",1,0)</x:f>
        <x:v>1</x:v>
      </x:c>
    </x:row>
    <x:row r="86" ht="19" customHeight="1">
      <x:c r="A86" t="str">
        <x:v>B-081</x:v>
      </x:c>
      <x:c r="B86" t="str">
        <x:v>Frostline Analytics 081</x:v>
      </x:c>
      <x:c r="C86" t="str">
        <x:v>Ari West</x:v>
      </x:c>
      <x:c r="D86" t="str">
        <x:v>account081@portfolio.example</x:v>
      </x:c>
      <x:c r="E86" t="str">
        <x:v>NC</x:v>
      </x:c>
      <x:c r="F86" t="str">
        <x:v>2026-10-03</x:v>
      </x:c>
      <x:c r="G86" t="str">
        <x:v>web_form</x:v>
      </x:c>
      <x:c r="H86" t="str">
        <x:f>LOWER(TRIM(D86))</x:f>
        <x:v>account081@portfolio.example</x:v>
      </x:c>
      <x:c r="I86" t="str">
        <x:f>IF(AND(LEN(H86)&gt;3,ISNUMBER(SEARCH("@",H86)),ISNUMBER(SEARCH(".",H86))),"YES","NO")</x:f>
        <x:v>YES</x:v>
      </x:c>
      <x:c r="J86" t="n">
        <x:f>IF(H86="",0,COUNTIF($H$6:H86,H86))</x:f>
        <x:v>1</x:v>
      </x:c>
      <x:c r="K86" t="str">
        <x:f>IF(I86="NO","HOLD",IF(J86&gt;1,"DUPLICATE","APPROVED"))</x:f>
        <x:v>APPROVED</x:v>
      </x:c>
      <x:c r="L86" t="n">
        <x:f>IF(K86="APPROVED",1,0)</x:f>
        <x:v>1</x:v>
      </x:c>
    </x:row>
    <x:row r="87" ht="19" customHeight="1">
      <x:c r="A87" t="str">
        <x:v>B-082</x:v>
      </x:c>
      <x:c r="B87" t="str">
        <x:v>Summit Analytics 082</x:v>
      </x:c>
      <x:c r="C87" t="str">
        <x:v>Dana Reed</x:v>
      </x:c>
      <x:c r="D87" t="str">
        <x:v>account082@portfolio.example</x:v>
      </x:c>
      <x:c r="E87" t="str">
        <x:v>SC</x:v>
      </x:c>
      <x:c r="F87" t="str">
        <x:v>2026-10-04</x:v>
      </x:c>
      <x:c r="G87" t="str">
        <x:v>web_form</x:v>
      </x:c>
      <x:c r="H87" t="str">
        <x:f>LOWER(TRIM(D87))</x:f>
        <x:v>account082@portfolio.example</x:v>
      </x:c>
      <x:c r="I87" t="str">
        <x:f>IF(AND(LEN(H87)&gt;3,ISNUMBER(SEARCH("@",H87)),ISNUMBER(SEARCH(".",H87))),"YES","NO")</x:f>
        <x:v>YES</x:v>
      </x:c>
      <x:c r="J87" t="n">
        <x:f>IF(H87="",0,COUNTIF($H$6:H87,H87))</x:f>
        <x:v>1</x:v>
      </x:c>
      <x:c r="K87" t="str">
        <x:f>IF(I87="NO","HOLD",IF(J87&gt;1,"DUPLICATE","APPROVED"))</x:f>
        <x:v>APPROVED</x:v>
      </x:c>
      <x:c r="L87" t="n">
        <x:f>IF(K87="APPROVED",1,0)</x:f>
        <x:v>1</x:v>
      </x:c>
    </x:row>
    <x:row r="88" ht="19" customHeight="1">
      <x:c r="A88" t="str">
        <x:v>B-083</x:v>
      </x:c>
      <x:c r="B88" t="str">
        <x:v>Pinefield Analytics 083</x:v>
      </x:c>
      <x:c r="C88" t="str">
        <x:v>Mica Patel</x:v>
      </x:c>
      <x:c r="D88" t="str">
        <x:v>account083@portfolio.example</x:v>
      </x:c>
      <x:c r="E88" t="str">
        <x:v>VA</x:v>
      </x:c>
      <x:c r="F88" t="str">
        <x:v>2026-10-05</x:v>
      </x:c>
      <x:c r="G88" t="str">
        <x:v>web_form</x:v>
      </x:c>
      <x:c r="H88" t="str">
        <x:f>LOWER(TRIM(D88))</x:f>
        <x:v>account083@portfolio.example</x:v>
      </x:c>
      <x:c r="I88" t="str">
        <x:f>IF(AND(LEN(H88)&gt;3,ISNUMBER(SEARCH("@",H88)),ISNUMBER(SEARCH(".",H88))),"YES","NO")</x:f>
        <x:v>YES</x:v>
      </x:c>
      <x:c r="J88" t="n">
        <x:f>IF(H88="",0,COUNTIF($H$6:H88,H88))</x:f>
        <x:v>1</x:v>
      </x:c>
      <x:c r="K88" t="str">
        <x:f>IF(I88="NO","HOLD",IF(J88&gt;1,"DUPLICATE","APPROVED"))</x:f>
        <x:v>APPROVED</x:v>
      </x:c>
      <x:c r="L88" t="n">
        <x:f>IF(K88="APPROVED",1,0)</x:f>
        <x:v>1</x:v>
      </x:c>
    </x:row>
    <x:row r="89" ht="19" customHeight="1">
      <x:c r="A89" t="str">
        <x:v>B-084</x:v>
      </x:c>
      <x:c r="B89" t="str">
        <x:v>Mariner Analytics 084</x:v>
      </x:c>
      <x:c r="C89" t="str">
        <x:v>Noel Ford</x:v>
      </x:c>
      <x:c r="D89" t="str">
        <x:v>account084@portfolio.example</x:v>
      </x:c>
      <x:c r="E89" t="str">
        <x:v>GA</x:v>
      </x:c>
      <x:c r="F89" t="str">
        <x:v>2026-10-06</x:v>
      </x:c>
      <x:c r="G89" t="str">
        <x:v>web_form</x:v>
      </x:c>
      <x:c r="H89" t="str">
        <x:f>LOWER(TRIM(D89))</x:f>
        <x:v>account084@portfolio.example</x:v>
      </x:c>
      <x:c r="I89" t="str">
        <x:f>IF(AND(LEN(H89)&gt;3,ISNUMBER(SEARCH("@",H89)),ISNUMBER(SEARCH(".",H89))),"YES","NO")</x:f>
        <x:v>YES</x:v>
      </x:c>
      <x:c r="J89" t="n">
        <x:f>IF(H89="",0,COUNTIF($H$6:H89,H89))</x:f>
        <x:v>1</x:v>
      </x:c>
      <x:c r="K89" t="str">
        <x:f>IF(I89="NO","HOLD",IF(J89&gt;1,"DUPLICATE","APPROVED"))</x:f>
        <x:v>APPROVED</x:v>
      </x:c>
      <x:c r="L89" t="n">
        <x:f>IF(K89="APPROVED",1,0)</x:f>
        <x:v>1</x:v>
      </x:c>
    </x:row>
    <x:row r="90" ht="19" customHeight="1">
      <x:c r="A90" t="str">
        <x:v>B-085</x:v>
      </x:c>
      <x:c r="B90" t="str">
        <x:v>White Oak Analytics 085</x:v>
      </x:c>
      <x:c r="C90" t="str">
        <x:v>Jules Morgan</x:v>
      </x:c>
      <x:c r="D90" t="str">
        <x:v>account085@portfolio.example</x:v>
      </x:c>
      <x:c r="E90" t="str">
        <x:v>FL</x:v>
      </x:c>
      <x:c r="F90" t="str">
        <x:v>2026-10-07</x:v>
      </x:c>
      <x:c r="G90" t="str">
        <x:v>web_form</x:v>
      </x:c>
      <x:c r="H90" t="str">
        <x:f>LOWER(TRIM(D90))</x:f>
        <x:v>account085@portfolio.example</x:v>
      </x:c>
      <x:c r="I90" t="str">
        <x:f>IF(AND(LEN(H90)&gt;3,ISNUMBER(SEARCH("@",H90)),ISNUMBER(SEARCH(".",H90))),"YES","NO")</x:f>
        <x:v>YES</x:v>
      </x:c>
      <x:c r="J90" t="n">
        <x:f>IF(H90="",0,COUNTIF($H$6:H90,H90))</x:f>
        <x:v>1</x:v>
      </x:c>
      <x:c r="K90" t="str">
        <x:f>IF(I90="NO","HOLD",IF(J90&gt;1,"DUPLICATE","APPROVED"))</x:f>
        <x:v>APPROVED</x:v>
      </x:c>
      <x:c r="L90" t="n">
        <x:f>IF(K90="APPROVED",1,0)</x:f>
        <x:v>1</x:v>
      </x:c>
    </x:row>
    <x:row r="91" ht="19" customHeight="1">
      <x:c r="A91" t="str">
        <x:v>B-086</x:v>
      </x:c>
      <x:c r="B91" t="str">
        <x:v>Silvercrest Analytics 086</x:v>
      </x:c>
      <x:c r="C91" t="str">
        <x:v>Taylor Lee</x:v>
      </x:c>
      <x:c r="D91" t="str">
        <x:v>account086@portfolio.example</x:v>
      </x:c>
      <x:c r="E91" t="str">
        <x:v>TN</x:v>
      </x:c>
      <x:c r="F91" t="str">
        <x:v>2026-10-08</x:v>
      </x:c>
      <x:c r="G91" t="str">
        <x:v>web_form</x:v>
      </x:c>
      <x:c r="H91" t="str">
        <x:f>LOWER(TRIM(D91))</x:f>
        <x:v>account086@portfolio.example</x:v>
      </x:c>
      <x:c r="I91" t="str">
        <x:f>IF(AND(LEN(H91)&gt;3,ISNUMBER(SEARCH("@",H91)),ISNUMBER(SEARCH(".",H91))),"YES","NO")</x:f>
        <x:v>YES</x:v>
      </x:c>
      <x:c r="J91" t="n">
        <x:f>IF(H91="",0,COUNTIF($H$6:H91,H91))</x:f>
        <x:v>1</x:v>
      </x:c>
      <x:c r="K91" t="str">
        <x:f>IF(I91="NO","HOLD",IF(J91&gt;1,"DUPLICATE","APPROVED"))</x:f>
        <x:v>APPROVED</x:v>
      </x:c>
      <x:c r="L91" t="n">
        <x:f>IF(K91="APPROVED",1,0)</x:f>
        <x:v>1</x:v>
      </x:c>
    </x:row>
    <x:row r="92" ht="19" customHeight="1">
      <x:c r="A92" t="str">
        <x:v>B-087</x:v>
      </x:c>
      <x:c r="B92" t="str">
        <x:v>Ironwood Analytics 087</x:v>
      </x:c>
      <x:c r="C92" t="str">
        <x:v>Remy Parker</x:v>
      </x:c>
      <x:c r="D92" t="str">
        <x:v>account087@portfolio.example</x:v>
      </x:c>
      <x:c r="E92" t="str">
        <x:v>TX</x:v>
      </x:c>
      <x:c r="F92" t="str">
        <x:v>2026-10-09</x:v>
      </x:c>
      <x:c r="G92" t="str">
        <x:v>web_form</x:v>
      </x:c>
      <x:c r="H92" t="str">
        <x:f>LOWER(TRIM(D92))</x:f>
        <x:v>account087@portfolio.example</x:v>
      </x:c>
      <x:c r="I92" t="str">
        <x:f>IF(AND(LEN(H92)&gt;3,ISNUMBER(SEARCH("@",H92)),ISNUMBER(SEARCH(".",H92))),"YES","NO")</x:f>
        <x:v>YES</x:v>
      </x:c>
      <x:c r="J92" t="n">
        <x:f>IF(H92="",0,COUNTIF($H$6:H92,H92))</x:f>
        <x:v>1</x:v>
      </x:c>
      <x:c r="K92" t="str">
        <x:f>IF(I92="NO","HOLD",IF(J92&gt;1,"DUPLICATE","APPROVED"))</x:f>
        <x:v>APPROVED</x:v>
      </x:c>
      <x:c r="L92" t="n">
        <x:f>IF(K92="APPROVED",1,0)</x:f>
        <x:v>1</x:v>
      </x:c>
    </x:row>
    <x:row r="93" ht="19" customHeight="1">
      <x:c r="A93" t="str">
        <x:v>B-088</x:v>
      </x:c>
      <x:c r="B93" t="str">
        <x:v>Clearwater Analytics 088</x:v>
      </x:c>
      <x:c r="C93" t="str">
        <x:v>Morgan West</x:v>
      </x:c>
      <x:c r="D93" t="str">
        <x:v>account088@portfolio.example</x:v>
      </x:c>
      <x:c r="E93" t="str">
        <x:v>MD</x:v>
      </x:c>
      <x:c r="F93" t="str">
        <x:v>2026-10-10</x:v>
      </x:c>
      <x:c r="G93" t="str">
        <x:v>web_form</x:v>
      </x:c>
      <x:c r="H93" t="str">
        <x:f>LOWER(TRIM(D93))</x:f>
        <x:v>account088@portfolio.example</x:v>
      </x:c>
      <x:c r="I93" t="str">
        <x:f>IF(AND(LEN(H93)&gt;3,ISNUMBER(SEARCH("@",H93)),ISNUMBER(SEARCH(".",H93))),"YES","NO")</x:f>
        <x:v>YES</x:v>
      </x:c>
      <x:c r="J93" t="n">
        <x:f>IF(H93="",0,COUNTIF($H$6:H93,H93))</x:f>
        <x:v>1</x:v>
      </x:c>
      <x:c r="K93" t="str">
        <x:f>IF(I93="NO","HOLD",IF(J93&gt;1,"DUPLICATE","APPROVED"))</x:f>
        <x:v>APPROVED</x:v>
      </x:c>
      <x:c r="L93" t="n">
        <x:f>IF(K93="APPROVED",1,0)</x:f>
        <x:v>1</x:v>
      </x:c>
    </x:row>
    <x:row r="94" ht="19" customHeight="1">
      <x:c r="A94" t="str">
        <x:v>B-089</x:v>
      </x:c>
      <x:c r="B94" t="str">
        <x:v>Stonebridge Analytics 089</x:v>
      </x:c>
      <x:c r="C94" t="str">
        <x:v>Quinn Reed</x:v>
      </x:c>
      <x:c r="D94" t="str">
        <x:v>account089@portfolio.example</x:v>
      </x:c>
      <x:c r="E94" t="str">
        <x:v>NC</x:v>
      </x:c>
      <x:c r="F94" t="str">
        <x:v>2026-10-11</x:v>
      </x:c>
      <x:c r="G94" t="str">
        <x:v>web_form</x:v>
      </x:c>
      <x:c r="H94" t="str">
        <x:f>LOWER(TRIM(D94))</x:f>
        <x:v>account089@portfolio.example</x:v>
      </x:c>
      <x:c r="I94" t="str">
        <x:f>IF(AND(LEN(H94)&gt;3,ISNUMBER(SEARCH("@",H94)),ISNUMBER(SEARCH(".",H94))),"YES","NO")</x:f>
        <x:v>YES</x:v>
      </x:c>
      <x:c r="J94" t="n">
        <x:f>IF(H94="",0,COUNTIF($H$6:H94,H94))</x:f>
        <x:v>1</x:v>
      </x:c>
      <x:c r="K94" t="str">
        <x:f>IF(I94="NO","HOLD",IF(J94&gt;1,"DUPLICATE","APPROVED"))</x:f>
        <x:v>APPROVED</x:v>
      </x:c>
      <x:c r="L94" t="n">
        <x:f>IF(K94="APPROVED",1,0)</x:f>
        <x:v>1</x:v>
      </x:c>
    </x:row>
    <x:row r="95" ht="19" customHeight="1">
      <x:c r="A95" t="str">
        <x:v>B-090</x:v>
      </x:c>
      <x:c r="B95" t="str">
        <x:v>Brighton Analytics 090</x:v>
      </x:c>
      <x:c r="C95" t="str">
        <x:v>Eli Patel</x:v>
      </x:c>
      <x:c r="D95" t="str">
        <x:v>account090@portfolio.example</x:v>
      </x:c>
      <x:c r="E95" t="str">
        <x:v>SC</x:v>
      </x:c>
      <x:c r="F95" t="str">
        <x:v>2026-10-12</x:v>
      </x:c>
      <x:c r="G95" t="str">
        <x:v>web_form</x:v>
      </x:c>
      <x:c r="H95" t="str">
        <x:f>LOWER(TRIM(D95))</x:f>
        <x:v>account090@portfolio.example</x:v>
      </x:c>
      <x:c r="I95" t="str">
        <x:f>IF(AND(LEN(H95)&gt;3,ISNUMBER(SEARCH("@",H95)),ISNUMBER(SEARCH(".",H95))),"YES","NO")</x:f>
        <x:v>YES</x:v>
      </x:c>
      <x:c r="J95" t="n">
        <x:f>IF(H95="",0,COUNTIF($H$6:H95,H95))</x:f>
        <x:v>1</x:v>
      </x:c>
      <x:c r="K95" t="str">
        <x:f>IF(I95="NO","HOLD",IF(J95&gt;1,"DUPLICATE","APPROVED"))</x:f>
        <x:v>APPROVED</x:v>
      </x:c>
      <x:c r="L95" t="n">
        <x:f>IF(K95="APPROVED",1,0)</x:f>
        <x:v>1</x:v>
      </x:c>
    </x:row>
    <x:row r="96" ht="19" customHeight="1">
      <x:c r="A96" t="str">
        <x:v>B-091</x:v>
      </x:c>
      <x:c r="B96" t="str">
        <x:v>Northfield Creative Works 091</x:v>
      </x:c>
      <x:c r="C96" t="str">
        <x:v>Ari Ford</x:v>
      </x:c>
      <x:c r="D96" t="str">
        <x:v>account091@portfolio.example</x:v>
      </x:c>
      <x:c r="E96" t="str">
        <x:v>VA</x:v>
      </x:c>
      <x:c r="F96" t="str">
        <x:v>2026-10-13</x:v>
      </x:c>
      <x:c r="G96" t="str">
        <x:v>web_form</x:v>
      </x:c>
      <x:c r="H96" t="str">
        <x:f>LOWER(TRIM(D96))</x:f>
        <x:v>account091@portfolio.example</x:v>
      </x:c>
      <x:c r="I96" t="str">
        <x:f>IF(AND(LEN(H96)&gt;3,ISNUMBER(SEARCH("@",H96)),ISNUMBER(SEARCH(".",H96))),"YES","NO")</x:f>
        <x:v>YES</x:v>
      </x:c>
      <x:c r="J96" t="n">
        <x:f>IF(H96="",0,COUNTIF($H$6:H96,H96))</x:f>
        <x:v>1</x:v>
      </x:c>
      <x:c r="K96" t="str">
        <x:f>IF(I96="NO","HOLD",IF(J96&gt;1,"DUPLICATE","APPROVED"))</x:f>
        <x:v>APPROVED</x:v>
      </x:c>
      <x:c r="L96" t="n">
        <x:f>IF(K96="APPROVED",1,0)</x:f>
        <x:v>1</x:v>
      </x:c>
    </x:row>
    <x:row r="97" ht="19" customHeight="1">
      <x:c r="A97" t="str">
        <x:v>B-092</x:v>
      </x:c>
      <x:c r="B97" t="str">
        <x:v>Cedarwood Creative Works 092</x:v>
      </x:c>
      <x:c r="C97" t="str">
        <x:v>Dana Morgan</x:v>
      </x:c>
      <x:c r="D97" t="str">
        <x:v>account092@portfolio.example</x:v>
      </x:c>
      <x:c r="E97" t="str">
        <x:v>GA</x:v>
      </x:c>
      <x:c r="F97" t="str">
        <x:v>2026-10-14</x:v>
      </x:c>
      <x:c r="G97" t="str">
        <x:v>web_form</x:v>
      </x:c>
      <x:c r="H97" t="str">
        <x:f>LOWER(TRIM(D97))</x:f>
        <x:v>account092@portfolio.example</x:v>
      </x:c>
      <x:c r="I97" t="str">
        <x:f>IF(AND(LEN(H97)&gt;3,ISNUMBER(SEARCH("@",H97)),ISNUMBER(SEARCH(".",H97))),"YES","NO")</x:f>
        <x:v>YES</x:v>
      </x:c>
      <x:c r="J97" t="n">
        <x:f>IF(H97="",0,COUNTIF($H$6:H97,H97))</x:f>
        <x:v>1</x:v>
      </x:c>
      <x:c r="K97" t="str">
        <x:f>IF(I97="NO","HOLD",IF(J97&gt;1,"DUPLICATE","APPROVED"))</x:f>
        <x:v>APPROVED</x:v>
      </x:c>
      <x:c r="L97" t="n">
        <x:f>IF(K97="APPROVED",1,0)</x:f>
        <x:v>1</x:v>
      </x:c>
    </x:row>
    <x:row r="98" ht="19" customHeight="1">
      <x:c r="A98" t="str">
        <x:v>B-093</x:v>
      </x:c>
      <x:c r="B98" t="str">
        <x:v>Brookline Creative Works 093</x:v>
      </x:c>
      <x:c r="C98" t="str">
        <x:v>Mica Lee</x:v>
      </x:c>
      <x:c r="D98" t="str">
        <x:v>account093@portfolio.example</x:v>
      </x:c>
      <x:c r="E98" t="str">
        <x:v>FL</x:v>
      </x:c>
      <x:c r="F98" t="str">
        <x:v>2026-10-15</x:v>
      </x:c>
      <x:c r="G98" t="str">
        <x:v>web_form</x:v>
      </x:c>
      <x:c r="H98" t="str">
        <x:f>LOWER(TRIM(D98))</x:f>
        <x:v>account093@portfolio.example</x:v>
      </x:c>
      <x:c r="I98" t="str">
        <x:f>IF(AND(LEN(H98)&gt;3,ISNUMBER(SEARCH("@",H98)),ISNUMBER(SEARCH(".",H98))),"YES","NO")</x:f>
        <x:v>YES</x:v>
      </x:c>
      <x:c r="J98" t="n">
        <x:f>IF(H98="",0,COUNTIF($H$6:H98,H98))</x:f>
        <x:v>1</x:v>
      </x:c>
      <x:c r="K98" t="str">
        <x:f>IF(I98="NO","HOLD",IF(J98&gt;1,"DUPLICATE","APPROVED"))</x:f>
        <x:v>APPROVED</x:v>
      </x:c>
      <x:c r="L98" t="n">
        <x:f>IF(K98="APPROVED",1,0)</x:f>
        <x:v>1</x:v>
      </x:c>
    </x:row>
    <x:row r="99" ht="19" customHeight="1">
      <x:c r="A99" t="str">
        <x:v>B-094</x:v>
      </x:c>
      <x:c r="B99" t="str">
        <x:v>Sable Creative Works 094</x:v>
      </x:c>
      <x:c r="C99" t="str">
        <x:v>Noel Parker</x:v>
      </x:c>
      <x:c r="D99" t="str">
        <x:v>account094@portfolio.example</x:v>
      </x:c>
      <x:c r="E99" t="str">
        <x:v>TN</x:v>
      </x:c>
      <x:c r="F99" t="str">
        <x:v>2026-10-16</x:v>
      </x:c>
      <x:c r="G99" t="str">
        <x:v>web_form</x:v>
      </x:c>
      <x:c r="H99" t="str">
        <x:f>LOWER(TRIM(D99))</x:f>
        <x:v>account094@portfolio.example</x:v>
      </x:c>
      <x:c r="I99" t="str">
        <x:f>IF(AND(LEN(H99)&gt;3,ISNUMBER(SEARCH("@",H99)),ISNUMBER(SEARCH(".",H99))),"YES","NO")</x:f>
        <x:v>YES</x:v>
      </x:c>
      <x:c r="J99" t="n">
        <x:f>IF(H99="",0,COUNTIF($H$6:H99,H99))</x:f>
        <x:v>1</x:v>
      </x:c>
      <x:c r="K99" t="str">
        <x:f>IF(I99="NO","HOLD",IF(J99&gt;1,"DUPLICATE","APPROVED"))</x:f>
        <x:v>APPROVED</x:v>
      </x:c>
      <x:c r="L99" t="n">
        <x:f>IF(K99="APPROVED",1,0)</x:f>
        <x:v>1</x:v>
      </x:c>
    </x:row>
    <x:row r="100" ht="19" customHeight="1">
      <x:c r="A100" t="str">
        <x:v>B-095</x:v>
      </x:c>
      <x:c r="B100" t="str">
        <x:v>Everview Creative Works 095</x:v>
      </x:c>
      <x:c r="C100" t="str">
        <x:v>Jules West</x:v>
      </x:c>
      <x:c r="D100" t="str">
        <x:v>account095@portfolio.example</x:v>
      </x:c>
      <x:c r="E100" t="str">
        <x:v>TX</x:v>
      </x:c>
      <x:c r="F100" t="str">
        <x:v>2026-10-17</x:v>
      </x:c>
      <x:c r="G100" t="str">
        <x:v>web_form</x:v>
      </x:c>
      <x:c r="H100" t="str">
        <x:f>LOWER(TRIM(D100))</x:f>
        <x:v>account095@portfolio.example</x:v>
      </x:c>
      <x:c r="I100" t="str">
        <x:f>IF(AND(LEN(H100)&gt;3,ISNUMBER(SEARCH("@",H100)),ISNUMBER(SEARCH(".",H100))),"YES","NO")</x:f>
        <x:v>YES</x:v>
      </x:c>
      <x:c r="J100" t="n">
        <x:f>IF(H100="",0,COUNTIF($H$6:H100,H100))</x:f>
        <x:v>1</x:v>
      </x:c>
      <x:c r="K100" t="str">
        <x:f>IF(I100="NO","HOLD",IF(J100&gt;1,"DUPLICATE","APPROVED"))</x:f>
        <x:v>APPROVED</x:v>
      </x:c>
      <x:c r="L100" t="n">
        <x:f>IF(K100="APPROVED",1,0)</x:f>
        <x:v>1</x:v>
      </x:c>
    </x:row>
    <x:row r="101" ht="19" customHeight="1">
      <x:c r="A101" t="str">
        <x:v>B-096</x:v>
      </x:c>
      <x:c r="B101" t="str">
        <x:v>Frostline Creative Works 096</x:v>
      </x:c>
      <x:c r="C101" t="str">
        <x:v>Taylor Reed</x:v>
      </x:c>
      <x:c r="D101" t="str">
        <x:v>account096@portfolio.example</x:v>
      </x:c>
      <x:c r="E101" t="str">
        <x:v>MD</x:v>
      </x:c>
      <x:c r="F101" t="str">
        <x:v>2026-10-18</x:v>
      </x:c>
      <x:c r="G101" t="str">
        <x:v>web_form</x:v>
      </x:c>
      <x:c r="H101" t="str">
        <x:f>LOWER(TRIM(D101))</x:f>
        <x:v>account096@portfolio.example</x:v>
      </x:c>
      <x:c r="I101" t="str">
        <x:f>IF(AND(LEN(H101)&gt;3,ISNUMBER(SEARCH("@",H101)),ISNUMBER(SEARCH(".",H101))),"YES","NO")</x:f>
        <x:v>YES</x:v>
      </x:c>
      <x:c r="J101" t="n">
        <x:f>IF(H101="",0,COUNTIF($H$6:H101,H101))</x:f>
        <x:v>1</x:v>
      </x:c>
      <x:c r="K101" t="str">
        <x:f>IF(I101="NO","HOLD",IF(J101&gt;1,"DUPLICATE","APPROVED"))</x:f>
        <x:v>APPROVED</x:v>
      </x:c>
      <x:c r="L101" t="n">
        <x:f>IF(K101="APPROVED",1,0)</x:f>
        <x:v>1</x:v>
      </x:c>
    </x:row>
    <x:row r="102" ht="19" customHeight="1">
      <x:c r="A102" t="str">
        <x:v>B-097</x:v>
      </x:c>
      <x:c r="B102" t="str">
        <x:v>Summit Creative Works 097</x:v>
      </x:c>
      <x:c r="C102" t="str">
        <x:v>Remy Patel</x:v>
      </x:c>
      <x:c r="D102" t="str">
        <x:v>account097@portfolio.example</x:v>
      </x:c>
      <x:c r="E102" t="str">
        <x:v>NC</x:v>
      </x:c>
      <x:c r="F102" t="str">
        <x:v>2026-10-19</x:v>
      </x:c>
      <x:c r="G102" t="str">
        <x:v>web_form</x:v>
      </x:c>
      <x:c r="H102" t="str">
        <x:f>LOWER(TRIM(D102))</x:f>
        <x:v>account097@portfolio.example</x:v>
      </x:c>
      <x:c r="I102" t="str">
        <x:f>IF(AND(LEN(H102)&gt;3,ISNUMBER(SEARCH("@",H102)),ISNUMBER(SEARCH(".",H102))),"YES","NO")</x:f>
        <x:v>YES</x:v>
      </x:c>
      <x:c r="J102" t="n">
        <x:f>IF(H102="",0,COUNTIF($H$6:H102,H102))</x:f>
        <x:v>1</x:v>
      </x:c>
      <x:c r="K102" t="str">
        <x:f>IF(I102="NO","HOLD",IF(J102&gt;1,"DUPLICATE","APPROVED"))</x:f>
        <x:v>APPROVED</x:v>
      </x:c>
      <x:c r="L102" t="n">
        <x:f>IF(K102="APPROVED",1,0)</x:f>
        <x:v>1</x:v>
      </x:c>
    </x:row>
    <x:row r="103" ht="19" customHeight="1">
      <x:c r="A103" t="str">
        <x:v>B-098</x:v>
      </x:c>
      <x:c r="B103" t="str">
        <x:v>Pinefield Creative Works 098</x:v>
      </x:c>
      <x:c r="C103" t="str">
        <x:v>Morgan Ford</x:v>
      </x:c>
      <x:c r="D103" t="str">
        <x:v>account098@portfolio.example</x:v>
      </x:c>
      <x:c r="E103" t="str">
        <x:v>SC</x:v>
      </x:c>
      <x:c r="F103" t="str">
        <x:v>2026-10-20</x:v>
      </x:c>
      <x:c r="G103" t="str">
        <x:v>web_form</x:v>
      </x:c>
      <x:c r="H103" t="str">
        <x:f>LOWER(TRIM(D103))</x:f>
        <x:v>account098@portfolio.example</x:v>
      </x:c>
      <x:c r="I103" t="str">
        <x:f>IF(AND(LEN(H103)&gt;3,ISNUMBER(SEARCH("@",H103)),ISNUMBER(SEARCH(".",H103))),"YES","NO")</x:f>
        <x:v>YES</x:v>
      </x:c>
      <x:c r="J103" t="n">
        <x:f>IF(H103="",0,COUNTIF($H$6:H103,H103))</x:f>
        <x:v>1</x:v>
      </x:c>
      <x:c r="K103" t="str">
        <x:f>IF(I103="NO","HOLD",IF(J103&gt;1,"DUPLICATE","APPROVED"))</x:f>
        <x:v>APPROVED</x:v>
      </x:c>
      <x:c r="L103" t="n">
        <x:f>IF(K103="APPROVED",1,0)</x:f>
        <x:v>1</x:v>
      </x:c>
    </x:row>
    <x:row r="104" ht="19" customHeight="1">
      <x:c r="A104" t="str">
        <x:v>B-099</x:v>
      </x:c>
      <x:c r="B104" t="str">
        <x:v>Mariner Creative Works 099</x:v>
      </x:c>
      <x:c r="C104" t="str">
        <x:v>Quinn Morgan</x:v>
      </x:c>
      <x:c r="D104" t="str">
        <x:v>account099@portfolio.example</x:v>
      </x:c>
      <x:c r="E104" t="str">
        <x:v>VA</x:v>
      </x:c>
      <x:c r="F104" t="str">
        <x:v>2026-10-21</x:v>
      </x:c>
      <x:c r="G104" t="str">
        <x:v>web_form</x:v>
      </x:c>
      <x:c r="H104" t="str">
        <x:f>LOWER(TRIM(D104))</x:f>
        <x:v>account099@portfolio.example</x:v>
      </x:c>
      <x:c r="I104" t="str">
        <x:f>IF(AND(LEN(H104)&gt;3,ISNUMBER(SEARCH("@",H104)),ISNUMBER(SEARCH(".",H104))),"YES","NO")</x:f>
        <x:v>YES</x:v>
      </x:c>
      <x:c r="J104" t="n">
        <x:f>IF(H104="",0,COUNTIF($H$6:H104,H104))</x:f>
        <x:v>1</x:v>
      </x:c>
      <x:c r="K104" t="str">
        <x:f>IF(I104="NO","HOLD",IF(J104&gt;1,"DUPLICATE","APPROVED"))</x:f>
        <x:v>APPROVED</x:v>
      </x:c>
      <x:c r="L104" t="n">
        <x:f>IF(K104="APPROVED",1,0)</x:f>
        <x:v>1</x:v>
      </x:c>
    </x:row>
    <x:row r="105" ht="19" customHeight="1">
      <x:c r="A105" t="str">
        <x:v>B-100</x:v>
      </x:c>
      <x:c r="B105" t="str">
        <x:v>White Oak Creative Works 100</x:v>
      </x:c>
      <x:c r="C105" t="str">
        <x:v>Eli Lee</x:v>
      </x:c>
      <x:c r="D105" t="str">
        <x:v>account100@portfolio.example</x:v>
      </x:c>
      <x:c r="E105" t="str">
        <x:v>GA</x:v>
      </x:c>
      <x:c r="F105" t="str">
        <x:v>2026-10-22</x:v>
      </x:c>
      <x:c r="G105" t="str">
        <x:v>web_form</x:v>
      </x:c>
      <x:c r="H105" t="str">
        <x:f>LOWER(TRIM(D105))</x:f>
        <x:v>account100@portfolio.example</x:v>
      </x:c>
      <x:c r="I105" t="str">
        <x:f>IF(AND(LEN(H105)&gt;3,ISNUMBER(SEARCH("@",H105)),ISNUMBER(SEARCH(".",H105))),"YES","NO")</x:f>
        <x:v>YES</x:v>
      </x:c>
      <x:c r="J105" t="n">
        <x:f>IF(H105="",0,COUNTIF($H$6:H105,H105))</x:f>
        <x:v>1</x:v>
      </x:c>
      <x:c r="K105" t="str">
        <x:f>IF(I105="NO","HOLD",IF(J105&gt;1,"DUPLICATE","APPROVED"))</x:f>
        <x:v>APPROVED</x:v>
      </x:c>
      <x:c r="L105" t="n">
        <x:f>IF(K105="APPROVED",1,0)</x:f>
        <x:v>1</x:v>
      </x:c>
    </x:row>
    <x:row r="106" ht="19" customHeight="1">
      <x:c r="A106" t="str">
        <x:v>B-101</x:v>
      </x:c>
      <x:c r="B106" t="str">
        <x:v>Silvercrest Creative Works 101</x:v>
      </x:c>
      <x:c r="C106" t="str">
        <x:v>Ari Parker</x:v>
      </x:c>
      <x:c r="D106" t="str">
        <x:v>account101@portfolio.example</x:v>
      </x:c>
      <x:c r="E106" t="str">
        <x:v>FL</x:v>
      </x:c>
      <x:c r="F106" t="str">
        <x:v>2026-10-23</x:v>
      </x:c>
      <x:c r="G106" t="str">
        <x:v>web_form</x:v>
      </x:c>
      <x:c r="H106" t="str">
        <x:f>LOWER(TRIM(D106))</x:f>
        <x:v>account101@portfolio.example</x:v>
      </x:c>
      <x:c r="I106" t="str">
        <x:f>IF(AND(LEN(H106)&gt;3,ISNUMBER(SEARCH("@",H106)),ISNUMBER(SEARCH(".",H106))),"YES","NO")</x:f>
        <x:v>YES</x:v>
      </x:c>
      <x:c r="J106" t="n">
        <x:f>IF(H106="",0,COUNTIF($H$6:H106,H106))</x:f>
        <x:v>1</x:v>
      </x:c>
      <x:c r="K106" t="str">
        <x:f>IF(I106="NO","HOLD",IF(J106&gt;1,"DUPLICATE","APPROVED"))</x:f>
        <x:v>APPROVED</x:v>
      </x:c>
      <x:c r="L106" t="n">
        <x:f>IF(K106="APPROVED",1,0)</x:f>
        <x:v>1</x:v>
      </x:c>
    </x:row>
    <x:row r="107" ht="19" customHeight="1">
      <x:c r="A107" t="str">
        <x:v>B-102</x:v>
      </x:c>
      <x:c r="B107" t="str">
        <x:v>Ironwood Creative Works 102</x:v>
      </x:c>
      <x:c r="C107" t="str">
        <x:v>Dana West</x:v>
      </x:c>
      <x:c r="D107" t="str">
        <x:v>account102@portfolio.example</x:v>
      </x:c>
      <x:c r="E107" t="str">
        <x:v>TN</x:v>
      </x:c>
      <x:c r="F107" t="str">
        <x:v>2026-10-24</x:v>
      </x:c>
      <x:c r="G107" t="str">
        <x:v>web_form</x:v>
      </x:c>
      <x:c r="H107" t="str">
        <x:f>LOWER(TRIM(D107))</x:f>
        <x:v>account102@portfolio.example</x:v>
      </x:c>
      <x:c r="I107" t="str">
        <x:f>IF(AND(LEN(H107)&gt;3,ISNUMBER(SEARCH("@",H107)),ISNUMBER(SEARCH(".",H107))),"YES","NO")</x:f>
        <x:v>YES</x:v>
      </x:c>
      <x:c r="J107" t="n">
        <x:f>IF(H107="",0,COUNTIF($H$6:H107,H107))</x:f>
        <x:v>1</x:v>
      </x:c>
      <x:c r="K107" t="str">
        <x:f>IF(I107="NO","HOLD",IF(J107&gt;1,"DUPLICATE","APPROVED"))</x:f>
        <x:v>APPROVED</x:v>
      </x:c>
      <x:c r="L107" t="n">
        <x:f>IF(K107="APPROVED",1,0)</x:f>
        <x:v>1</x:v>
      </x:c>
    </x:row>
    <x:row r="108" ht="19" customHeight="1">
      <x:c r="A108" t="str">
        <x:v>B-103</x:v>
      </x:c>
      <x:c r="B108" t="str">
        <x:v>Clearwater Creative Works 103</x:v>
      </x:c>
      <x:c r="C108" t="str">
        <x:v>Mica Reed</x:v>
      </x:c>
      <x:c r="D108" t="str">
        <x:v>account103@portfolio.example</x:v>
      </x:c>
      <x:c r="E108" t="str">
        <x:v>TX</x:v>
      </x:c>
      <x:c r="F108" t="str">
        <x:v>2026-10-25</x:v>
      </x:c>
      <x:c r="G108" t="str">
        <x:v>web_form</x:v>
      </x:c>
      <x:c r="H108" t="str">
        <x:f>LOWER(TRIM(D108))</x:f>
        <x:v>account103@portfolio.example</x:v>
      </x:c>
      <x:c r="I108" t="str">
        <x:f>IF(AND(LEN(H108)&gt;3,ISNUMBER(SEARCH("@",H108)),ISNUMBER(SEARCH(".",H108))),"YES","NO")</x:f>
        <x:v>YES</x:v>
      </x:c>
      <x:c r="J108" t="n">
        <x:f>IF(H108="",0,COUNTIF($H$6:H108,H108))</x:f>
        <x:v>1</x:v>
      </x:c>
      <x:c r="K108" t="str">
        <x:f>IF(I108="NO","HOLD",IF(J108&gt;1,"DUPLICATE","APPROVED"))</x:f>
        <x:v>APPROVED</x:v>
      </x:c>
      <x:c r="L108" t="n">
        <x:f>IF(K108="APPROVED",1,0)</x:f>
        <x:v>1</x:v>
      </x:c>
    </x:row>
    <x:row r="109" ht="19" customHeight="1">
      <x:c r="A109" t="str">
        <x:v>B-104</x:v>
      </x:c>
      <x:c r="B109" t="str">
        <x:v>Stonebridge Creative Works 104</x:v>
      </x:c>
      <x:c r="C109" t="str">
        <x:v>Noel Patel</x:v>
      </x:c>
      <x:c r="D109" t="str">
        <x:v>account104@portfolio.example</x:v>
      </x:c>
      <x:c r="E109" t="str">
        <x:v>MD</x:v>
      </x:c>
      <x:c r="F109" t="str">
        <x:v>2026-10-26</x:v>
      </x:c>
      <x:c r="G109" t="str">
        <x:v>web_form</x:v>
      </x:c>
      <x:c r="H109" t="str">
        <x:f>LOWER(TRIM(D109))</x:f>
        <x:v>account104@portfolio.example</x:v>
      </x:c>
      <x:c r="I109" t="str">
        <x:f>IF(AND(LEN(H109)&gt;3,ISNUMBER(SEARCH("@",H109)),ISNUMBER(SEARCH(".",H109))),"YES","NO")</x:f>
        <x:v>YES</x:v>
      </x:c>
      <x:c r="J109" t="n">
        <x:f>IF(H109="",0,COUNTIF($H$6:H109,H109))</x:f>
        <x:v>1</x:v>
      </x:c>
      <x:c r="K109" t="str">
        <x:f>IF(I109="NO","HOLD",IF(J109&gt;1,"DUPLICATE","APPROVED"))</x:f>
        <x:v>APPROVED</x:v>
      </x:c>
      <x:c r="L109" t="n">
        <x:f>IF(K109="APPROVED",1,0)</x:f>
        <x:v>1</x:v>
      </x:c>
    </x:row>
    <x:row r="110" ht="19" customHeight="1">
      <x:c r="A110" t="str">
        <x:v>B-105</x:v>
      </x:c>
      <x:c r="B110" t="str">
        <x:v>  FROSTLINE CONSULTING 006 </x:v>
      </x:c>
      <x:c r="C110" t="str">
        <x:v>Taylor Patel</x:v>
      </x:c>
      <x:c r="D110" t="str">
        <x:v>ACCOUNT006@PORTFOLIO.EXAMPLE</x:v>
      </x:c>
      <x:c r="E110" t="str">
        <x:v>TN</x:v>
      </x:c>
      <x:c r="F110" t="str">
        <x:v>2026-10-06</x:v>
      </x:c>
      <x:c r="G110" t="str">
        <x:v>repeat_upload</x:v>
      </x:c>
      <x:c r="H110" t="str">
        <x:f>LOWER(TRIM(D110))</x:f>
        <x:v>account006@portfolio.example</x:v>
      </x:c>
      <x:c r="I110" t="str">
        <x:f>IF(AND(LEN(H110)&gt;3,ISNUMBER(SEARCH("@",H110)),ISNUMBER(SEARCH(".",H110))),"YES","NO")</x:f>
        <x:v>YES</x:v>
      </x:c>
      <x:c r="J110" t="n">
        <x:f>IF(H110="",0,COUNTIF($H$6:H110,H110))</x:f>
        <x:v>2</x:v>
      </x:c>
      <x:c r="K110" t="str">
        <x:f>IF(I110="NO","HOLD",IF(J110&gt;1,"DUPLICATE","APPROVED"))</x:f>
        <x:v>DUPLICATE</x:v>
      </x:c>
      <x:c r="L110" t="n">
        <x:f>IF(K110="APPROVED",1,0)</x:f>
        <x:v>0</x:v>
      </x:c>
    </x:row>
    <x:row r="111" ht="19" customHeight="1">
      <x:c r="A111" t="str">
        <x:v>B-106</x:v>
      </x:c>
      <x:c r="B111" t="str">
        <x:v>  BRIGHTON CONSULTING 015 </x:v>
      </x:c>
      <x:c r="C111" t="str">
        <x:v>Jules Morgan</x:v>
      </x:c>
      <x:c r="D111" t="str">
        <x:v>ACCOUNT015@PORTFOLIO.EXAMPLE</x:v>
      </x:c>
      <x:c r="E111" t="str">
        <x:v>TX</x:v>
      </x:c>
      <x:c r="F111" t="str">
        <x:v>2026-10-15</x:v>
      </x:c>
      <x:c r="G111" t="str">
        <x:v>repeat_upload</x:v>
      </x:c>
      <x:c r="H111" t="str">
        <x:f>LOWER(TRIM(D111))</x:f>
        <x:v>account015@portfolio.example</x:v>
      </x:c>
      <x:c r="I111" t="str">
        <x:f>IF(AND(LEN(H111)&gt;3,ISNUMBER(SEARCH("@",H111)),ISNUMBER(SEARCH(".",H111))),"YES","NO")</x:f>
        <x:v>YES</x:v>
      </x:c>
      <x:c r="J111" t="n">
        <x:f>IF(H111="",0,COUNTIF($H$6:H111,H111))</x:f>
        <x:v>2</x:v>
      </x:c>
      <x:c r="K111" t="str">
        <x:f>IF(I111="NO","HOLD",IF(J111&gt;1,"DUPLICATE","APPROVED"))</x:f>
        <x:v>DUPLICATE</x:v>
      </x:c>
      <x:c r="L111" t="n">
        <x:f>IF(K111="APPROVED",1,0)</x:f>
        <x:v>0</x:v>
      </x:c>
    </x:row>
    <x:row r="112" ht="19" customHeight="1">
      <x:c r="A112" t="str">
        <x:v>B-107</x:v>
      </x:c>
      <x:c r="B112" t="str">
        <x:v>  MARINER OFFICE SERVICES 024 </x:v>
      </x:c>
      <x:c r="C112" t="str">
        <x:v>Noel Parker</x:v>
      </x:c>
      <x:c r="D112" t="str">
        <x:v>ACCOUNT024@PORTFOLIO.EXAMPLE</x:v>
      </x:c>
      <x:c r="E112" t="str">
        <x:v>MD</x:v>
      </x:c>
      <x:c r="F112" t="str">
        <x:v>2026-10-24</x:v>
      </x:c>
      <x:c r="G112" t="str">
        <x:v>repeat_upload</x:v>
      </x:c>
      <x:c r="H112" t="str">
        <x:f>LOWER(TRIM(D112))</x:f>
        <x:v>account024@portfolio.example</x:v>
      </x:c>
      <x:c r="I112" t="str">
        <x:f>IF(AND(LEN(H112)&gt;3,ISNUMBER(SEARCH("@",H112)),ISNUMBER(SEARCH(".",H112))),"YES","NO")</x:f>
        <x:v>YES</x:v>
      </x:c>
      <x:c r="J112" t="n">
        <x:f>IF(H112="",0,COUNTIF($H$6:H112,H112))</x:f>
        <x:v>2</x:v>
      </x:c>
      <x:c r="K112" t="str">
        <x:f>IF(I112="NO","HOLD",IF(J112&gt;1,"DUPLICATE","APPROVED"))</x:f>
        <x:v>DUPLICATE</x:v>
      </x:c>
      <x:c r="L112" t="n">
        <x:f>IF(K112="APPROVED",1,0)</x:f>
        <x:v>0</x:v>
      </x:c>
    </x:row>
    <x:row r="113" ht="19" customHeight="1">
      <x:c r="A113" t="str">
        <x:v>B-108</x:v>
      </x:c>
      <x:c r="B113" t="str">
        <x:v>  BROOKLINE DISTRIBUTION 033 </x:v>
      </x:c>
      <x:c r="C113" t="str">
        <x:v>Mica Reed</x:v>
      </x:c>
      <x:c r="D113" t="str">
        <x:v>ACCOUNT033@PORTFOLIO.EXAMPLE</x:v>
      </x:c>
      <x:c r="E113" t="str">
        <x:v>NC</x:v>
      </x:c>
      <x:c r="F113" t="str">
        <x:v>2026-10-07</x:v>
      </x:c>
      <x:c r="G113" t="str">
        <x:v>repeat_upload</x:v>
      </x:c>
      <x:c r="H113" t="str">
        <x:f>LOWER(TRIM(D113))</x:f>
        <x:v>account033@portfolio.example</x:v>
      </x:c>
      <x:c r="I113" t="str">
        <x:f>IF(AND(LEN(H113)&gt;3,ISNUMBER(SEARCH("@",H113)),ISNUMBER(SEARCH(".",H113))),"YES","NO")</x:f>
        <x:v>YES</x:v>
      </x:c>
      <x:c r="J113" t="n">
        <x:f>IF(H113="",0,COUNTIF($H$6:H113,H113))</x:f>
        <x:v>2</x:v>
      </x:c>
      <x:c r="K113" t="str">
        <x:f>IF(I113="NO","HOLD",IF(J113&gt;1,"DUPLICATE","APPROVED"))</x:f>
        <x:v>DUPLICATE</x:v>
      </x:c>
      <x:c r="L113" t="n">
        <x:f>IF(K113="APPROVED",1,0)</x:f>
        <x:v>0</x:v>
      </x:c>
    </x:row>
    <x:row r="114" ht="19" customHeight="1">
      <x:c r="A114" t="str">
        <x:v>B-109</x:v>
      </x:c>
      <x:c r="B114" t="str">
        <x:v>  IRONWOOD DISTRIBUTION 042 </x:v>
      </x:c>
      <x:c r="C114" t="str">
        <x:v>Dana Ford</x:v>
      </x:c>
      <x:c r="D114" t="str">
        <x:v>ACCOUNT042@PORTFOLIO.EXAMPLE</x:v>
      </x:c>
      <x:c r="E114" t="str">
        <x:v>SC</x:v>
      </x:c>
      <x:c r="F114" t="str">
        <x:v>2026-10-16</x:v>
      </x:c>
      <x:c r="G114" t="str">
        <x:v>repeat_upload</x:v>
      </x:c>
      <x:c r="H114" t="str">
        <x:f>LOWER(TRIM(D114))</x:f>
        <x:v>account042@portfolio.example</x:v>
      </x:c>
      <x:c r="I114" t="str">
        <x:f>IF(AND(LEN(H114)&gt;3,ISNUMBER(SEARCH("@",H114)),ISNUMBER(SEARCH(".",H114))),"YES","NO")</x:f>
        <x:v>YES</x:v>
      </x:c>
      <x:c r="J114" t="n">
        <x:f>IF(H114="",0,COUNTIF($H$6:H114,H114))</x:f>
        <x:v>2</x:v>
      </x:c>
      <x:c r="K114" t="str">
        <x:f>IF(I114="NO","HOLD",IF(J114&gt;1,"DUPLICATE","APPROVED"))</x:f>
        <x:v>DUPLICATE</x:v>
      </x:c>
      <x:c r="L114" t="n">
        <x:f>IF(K114="APPROVED",1,0)</x:f>
        <x:v>0</x:v>
      </x:c>
    </x:row>
    <x:row r="115" ht="19" customHeight="1">
      <x:c r="A115" t="str">
        <x:v>B-110</x:v>
      </x:c>
      <x:c r="B115" t="str">
        <x:v>  FROSTLINE IT SERVICES 051 </x:v>
      </x:c>
      <x:c r="C115" t="str">
        <x:v>Ari Lee</x:v>
      </x:c>
      <x:c r="D115" t="str">
        <x:v>ACCOUNT051@PORTFOLIO.EXAMPLE</x:v>
      </x:c>
      <x:c r="E115" t="str">
        <x:v>VA</x:v>
      </x:c>
      <x:c r="F115" t="str">
        <x:v>2026-10-25</x:v>
      </x:c>
      <x:c r="G115" t="str">
        <x:v>repeat_upload</x:v>
      </x:c>
      <x:c r="H115" t="str">
        <x:f>LOWER(TRIM(D115))</x:f>
        <x:v>account051@portfolio.example</x:v>
      </x:c>
      <x:c r="I115" t="str">
        <x:f>IF(AND(LEN(H115)&gt;3,ISNUMBER(SEARCH("@",H115)),ISNUMBER(SEARCH(".",H115))),"YES","NO")</x:f>
        <x:v>YES</x:v>
      </x:c>
      <x:c r="J115" t="n">
        <x:f>IF(H115="",0,COUNTIF($H$6:H115,H115))</x:f>
        <x:v>2</x:v>
      </x:c>
      <x:c r="K115" t="str">
        <x:f>IF(I115="NO","HOLD",IF(J115&gt;1,"DUPLICATE","APPROVED"))</x:f>
        <x:v>DUPLICATE</x:v>
      </x:c>
      <x:c r="L115" t="n">
        <x:f>IF(K115="APPROVED",1,0)</x:f>
        <x:v>0</x:v>
      </x:c>
    </x:row>
    <x:row r="116" ht="19" customHeight="1">
      <x:c r="A116" t="str">
        <x:v>B-111</x:v>
      </x:c>
      <x:c r="B116" t="str">
        <x:v>  BRIGHTON IT SERVICES 060 </x:v>
      </x:c>
      <x:c r="C116" t="str">
        <x:v>Eli West</x:v>
      </x:c>
      <x:c r="D116" t="str">
        <x:v>ACCOUNT060@PORTFOLIO.EXAMPLE</x:v>
      </x:c>
      <x:c r="E116" t="str">
        <x:v>GA</x:v>
      </x:c>
      <x:c r="F116" t="str">
        <x:v>2026-10-08</x:v>
      </x:c>
      <x:c r="G116" t="str">
        <x:v>repeat_upload</x:v>
      </x:c>
      <x:c r="H116" t="str">
        <x:f>LOWER(TRIM(D116))</x:f>
        <x:v>account060@portfolio.example</x:v>
      </x:c>
      <x:c r="I116" t="str">
        <x:f>IF(AND(LEN(H116)&gt;3,ISNUMBER(SEARCH("@",H116)),ISNUMBER(SEARCH(".",H116))),"YES","NO")</x:f>
        <x:v>YES</x:v>
      </x:c>
      <x:c r="J116" t="n">
        <x:f>IF(H116="",0,COUNTIF($H$6:H116,H116))</x:f>
        <x:v>2</x:v>
      </x:c>
      <x:c r="K116" t="str">
        <x:f>IF(I116="NO","HOLD",IF(J116&gt;1,"DUPLICATE","APPROVED"))</x:f>
        <x:v>DUPLICATE</x:v>
      </x:c>
      <x:c r="L116" t="n">
        <x:f>IF(K116="APPROVED",1,0)</x:f>
        <x:v>0</x:v>
      </x:c>
    </x:row>
    <x:row r="117" ht="19" customHeight="1">
      <x:c r="A117" t="str">
        <x:v>B-112</x:v>
      </x:c>
      <x:c r="B117" t="str">
        <x:v>  MARINER SUPPLY GROUP 069 </x:v>
      </x:c>
      <x:c r="C117" t="str">
        <x:v>Quinn Patel</x:v>
      </x:c>
      <x:c r="D117" t="str">
        <x:v>ACCOUNT069@PORTFOLIO.EXAMPLE</x:v>
      </x:c>
      <x:c r="E117" t="str">
        <x:v>FL</x:v>
      </x:c>
      <x:c r="F117" t="str">
        <x:v>2026-10-17</x:v>
      </x:c>
      <x:c r="G117" t="str">
        <x:v>repeat_upload</x:v>
      </x:c>
      <x:c r="H117" t="str">
        <x:f>LOWER(TRIM(D117))</x:f>
        <x:v>account069@portfolio.example</x:v>
      </x:c>
      <x:c r="I117" t="str">
        <x:f>IF(AND(LEN(H117)&gt;3,ISNUMBER(SEARCH("@",H117)),ISNUMBER(SEARCH(".",H117))),"YES","NO")</x:f>
        <x:v>YES</x:v>
      </x:c>
      <x:c r="J117" t="n">
        <x:f>IF(H117="",0,COUNTIF($H$6:H117,H117))</x:f>
        <x:v>2</x:v>
      </x:c>
      <x:c r="K117" t="str">
        <x:f>IF(I117="NO","HOLD",IF(J117&gt;1,"DUPLICATE","APPROVED"))</x:f>
        <x:v>DUPLICATE</x:v>
      </x:c>
      <x:c r="L117" t="n">
        <x:f>IF(K117="APPROVED",1,0)</x:f>
        <x:v>0</x:v>
      </x:c>
    </x:row>
    <x:row r="118" ht="19" customHeight="1">
      <x:c r="A118" t="str">
        <x:v>B-113</x:v>
      </x:c>
      <x:c r="B118" t="str">
        <x:v>  BROOKLINE ANALYTICS 078 </x:v>
      </x:c>
      <x:c r="C118" t="str">
        <x:v>Morgan Morgan</x:v>
      </x:c>
      <x:c r="D118" t="str">
        <x:v>ACCOUNT078@PORTFOLIO.EXAMPLE</x:v>
      </x:c>
      <x:c r="E118" t="str">
        <x:v>TN</x:v>
      </x:c>
      <x:c r="F118" t="str">
        <x:v>2026-10-26</x:v>
      </x:c>
      <x:c r="G118" t="str">
        <x:v>repeat_upload</x:v>
      </x:c>
      <x:c r="H118" t="str">
        <x:f>LOWER(TRIM(D118))</x:f>
        <x:v>account078@portfolio.example</x:v>
      </x:c>
      <x:c r="I118" t="str">
        <x:f>IF(AND(LEN(H118)&gt;3,ISNUMBER(SEARCH("@",H118)),ISNUMBER(SEARCH(".",H118))),"YES","NO")</x:f>
        <x:v>YES</x:v>
      </x:c>
      <x:c r="J118" t="n">
        <x:f>IF(H118="",0,COUNTIF($H$6:H118,H118))</x:f>
        <x:v>2</x:v>
      </x:c>
      <x:c r="K118" t="str">
        <x:f>IF(I118="NO","HOLD",IF(J118&gt;1,"DUPLICATE","APPROVED"))</x:f>
        <x:v>DUPLICATE</x:v>
      </x:c>
      <x:c r="L118" t="n">
        <x:f>IF(K118="APPROVED",1,0)</x:f>
        <x:v>0</x:v>
      </x:c>
    </x:row>
    <x:row r="119" ht="19" customHeight="1">
      <x:c r="A119" t="str">
        <x:v>B-114</x:v>
      </x:c>
      <x:c r="B119" t="str">
        <x:v>  IRONWOOD ANALYTICS 087 </x:v>
      </x:c>
      <x:c r="C119" t="str">
        <x:v>Remy Parker</x:v>
      </x:c>
      <x:c r="D119" t="str">
        <x:v>ACCOUNT087@PORTFOLIO.EXAMPLE</x:v>
      </x:c>
      <x:c r="E119" t="str">
        <x:v>TX</x:v>
      </x:c>
      <x:c r="F119" t="str">
        <x:v>2026-10-09</x:v>
      </x:c>
      <x:c r="G119" t="str">
        <x:v>repeat_upload</x:v>
      </x:c>
      <x:c r="H119" t="str">
        <x:f>LOWER(TRIM(D119))</x:f>
        <x:v>account087@portfolio.example</x:v>
      </x:c>
      <x:c r="I119" t="str">
        <x:f>IF(AND(LEN(H119)&gt;3,ISNUMBER(SEARCH("@",H119)),ISNUMBER(SEARCH(".",H119))),"YES","NO")</x:f>
        <x:v>YES</x:v>
      </x:c>
      <x:c r="J119" t="n">
        <x:f>IF(H119="",0,COUNTIF($H$6:H119,H119))</x:f>
        <x:v>2</x:v>
      </x:c>
      <x:c r="K119" t="str">
        <x:f>IF(I119="NO","HOLD",IF(J119&gt;1,"DUPLICATE","APPROVED"))</x:f>
        <x:v>DUPLICATE</x:v>
      </x:c>
      <x:c r="L119" t="n">
        <x:f>IF(K119="APPROVED",1,0)</x:f>
        <x:v>0</x:v>
      </x:c>
    </x:row>
    <x:row r="120" ht="19" customHeight="1">
      <x:c r="A120" t="str">
        <x:v>B-115</x:v>
      </x:c>
      <x:c r="B120" t="str">
        <x:v>Silvercrest Supply Group 071 Pending</x:v>
      </x:c>
      <x:c r="C120" t="str">
        <x:v>Ari Morgan</x:v>
      </x:c>
      <x:c r="D120" t="str"/>
      <x:c r="E120" t="str">
        <x:v>TX</x:v>
      </x:c>
      <x:c r="F120" t="str">
        <x:v>2026-10-19</x:v>
      </x:c>
      <x:c r="G120" t="str">
        <x:v>manual_form</x:v>
      </x:c>
      <x:c r="H120" t="str">
        <x:f>LOWER(TRIM(D120))</x:f>
      </x:c>
      <x:c r="I120" t="str">
        <x:f>IF(AND(LEN(H120)&gt;3,ISNUMBER(SEARCH("@",H120)),ISNUMBER(SEARCH(".",H120))),"YES","NO")</x:f>
        <x:v>NO</x:v>
      </x:c>
      <x:c r="J120" t="n">
        <x:f>IF(H120="",0,COUNTIF($H$6:H120,H120))</x:f>
        <x:v>0</x:v>
      </x:c>
      <x:c r="K120" t="str">
        <x:f>IF(I120="NO","HOLD",IF(J120&gt;1,"DUPLICATE","APPROVED"))</x:f>
        <x:v>HOLD</x:v>
      </x:c>
      <x:c r="L120" t="n">
        <x:f>IF(K120="APPROVED",1,0)</x:f>
        <x:v>0</x:v>
      </x:c>
    </x:row>
    <x:row r="121" ht="19" customHeight="1">
      <x:c r="A121" t="str">
        <x:v>B-116</x:v>
      </x:c>
      <x:c r="B121" t="str">
        <x:v>Ironwood Supply Group 072 Pending</x:v>
      </x:c>
      <x:c r="C121" t="str">
        <x:v>Dana Lee</x:v>
      </x:c>
      <x:c r="D121" t="str">
        <x:v>not-an-email</x:v>
      </x:c>
      <x:c r="E121" t="str">
        <x:v>MD</x:v>
      </x:c>
      <x:c r="F121" t="str">
        <x:v>2026-10-20</x:v>
      </x:c>
      <x:c r="G121" t="str">
        <x:v>manual_form</x:v>
      </x:c>
      <x:c r="H121" t="str">
        <x:f>LOWER(TRIM(D121))</x:f>
        <x:v>not-an-email</x:v>
      </x:c>
      <x:c r="I121" t="str">
        <x:f>IF(AND(LEN(H121)&gt;3,ISNUMBER(SEARCH("@",H121)),ISNUMBER(SEARCH(".",H121))),"YES","NO")</x:f>
        <x:v>NO</x:v>
      </x:c>
      <x:c r="J121" t="n">
        <x:f>IF(H121="",0,COUNTIF($H$6:H121,H121))</x:f>
        <x:v>1</x:v>
      </x:c>
      <x:c r="K121" t="str">
        <x:f>IF(I121="NO","HOLD",IF(J121&gt;1,"DUPLICATE","APPROVED"))</x:f>
        <x:v>HOLD</x:v>
      </x:c>
      <x:c r="L121" t="n">
        <x:f>IF(K121="APPROVED",1,0)</x:f>
        <x:v>0</x:v>
      </x:c>
    </x:row>
    <x:row r="122" ht="19" customHeight="1">
      <x:c r="A122" t="str">
        <x:v>B-117</x:v>
      </x:c>
      <x:c r="B122" t="str">
        <x:v>Clearwater Supply Group 073 Pending</x:v>
      </x:c>
      <x:c r="C122" t="str">
        <x:v>Mica Parker</x:v>
      </x:c>
      <x:c r="D122" t="str"/>
      <x:c r="E122" t="str">
        <x:v>NC</x:v>
      </x:c>
      <x:c r="F122" t="str">
        <x:v>2026-10-21</x:v>
      </x:c>
      <x:c r="G122" t="str">
        <x:v>manual_form</x:v>
      </x:c>
      <x:c r="H122" t="str">
        <x:f>LOWER(TRIM(D122))</x:f>
      </x:c>
      <x:c r="I122" t="str">
        <x:f>IF(AND(LEN(H122)&gt;3,ISNUMBER(SEARCH("@",H122)),ISNUMBER(SEARCH(".",H122))),"YES","NO")</x:f>
        <x:v>NO</x:v>
      </x:c>
      <x:c r="J122" t="n">
        <x:f>IF(H122="",0,COUNTIF($H$6:H122,H122))</x:f>
        <x:v>0</x:v>
      </x:c>
      <x:c r="K122" t="str">
        <x:f>IF(I122="NO","HOLD",IF(J122&gt;1,"DUPLICATE","APPROVED"))</x:f>
        <x:v>HOLD</x:v>
      </x:c>
      <x:c r="L122" t="n">
        <x:f>IF(K122="APPROVED",1,0)</x:f>
        <x:v>0</x:v>
      </x:c>
    </x:row>
    <x:row r="123" ht="19" customHeight="1">
      <x:c r="A123" t="str">
        <x:v>B-118</x:v>
      </x:c>
      <x:c r="B123" t="str">
        <x:v>Stonebridge Supply Group 074 Pending</x:v>
      </x:c>
      <x:c r="C123" t="str">
        <x:v>Noel West</x:v>
      </x:c>
      <x:c r="D123" t="str">
        <x:v>not-an-email</x:v>
      </x:c>
      <x:c r="E123" t="str">
        <x:v>SC</x:v>
      </x:c>
      <x:c r="F123" t="str">
        <x:v>2026-10-22</x:v>
      </x:c>
      <x:c r="G123" t="str">
        <x:v>manual_form</x:v>
      </x:c>
      <x:c r="H123" t="str">
        <x:f>LOWER(TRIM(D123))</x:f>
        <x:v>not-an-email</x:v>
      </x:c>
      <x:c r="I123" t="str">
        <x:f>IF(AND(LEN(H123)&gt;3,ISNUMBER(SEARCH("@",H123)),ISNUMBER(SEARCH(".",H123))),"YES","NO")</x:f>
        <x:v>NO</x:v>
      </x:c>
      <x:c r="J123" t="n">
        <x:f>IF(H123="",0,COUNTIF($H$6:H123,H123))</x:f>
        <x:v>2</x:v>
      </x:c>
      <x:c r="K123" t="str">
        <x:f>IF(I123="NO","HOLD",IF(J123&gt;1,"DUPLICATE","APPROVED"))</x:f>
        <x:v>HOLD</x:v>
      </x:c>
      <x:c r="L123" t="n">
        <x:f>IF(K123="APPROVED",1,0)</x:f>
        <x:v>0</x:v>
      </x:c>
    </x:row>
    <x:row r="124" ht="19" customHeight="1">
      <x:c r="A124" t="str">
        <x:v>B-119</x:v>
      </x:c>
      <x:c r="B124" t="str">
        <x:v>Brighton Supply Group 075 Pending</x:v>
      </x:c>
      <x:c r="C124" t="str">
        <x:v>Jules Reed</x:v>
      </x:c>
      <x:c r="D124" t="str"/>
      <x:c r="E124" t="str">
        <x:v>VA</x:v>
      </x:c>
      <x:c r="F124" t="str">
        <x:v>2026-10-23</x:v>
      </x:c>
      <x:c r="G124" t="str">
        <x:v>manual_form</x:v>
      </x:c>
      <x:c r="H124" t="str">
        <x:f>LOWER(TRIM(D124))</x:f>
      </x:c>
      <x:c r="I124" t="str">
        <x:f>IF(AND(LEN(H124)&gt;3,ISNUMBER(SEARCH("@",H124)),ISNUMBER(SEARCH(".",H124))),"YES","NO")</x:f>
        <x:v>NO</x:v>
      </x:c>
      <x:c r="J124" t="n">
        <x:f>IF(H124="",0,COUNTIF($H$6:H124,H124))</x:f>
        <x:v>0</x:v>
      </x:c>
      <x:c r="K124" t="str">
        <x:f>IF(I124="NO","HOLD",IF(J124&gt;1,"DUPLICATE","APPROVED"))</x:f>
        <x:v>HOLD</x:v>
      </x:c>
      <x:c r="L124" t="n">
        <x:f>IF(K124="APPROVED",1,0)</x:f>
        <x:v>0</x:v>
      </x:c>
    </x:row>
    <x:row r="125" ht="19" customHeight="1">
      <x:c r="A125" t="str">
        <x:v>B-120</x:v>
      </x:c>
      <x:c r="B125" t="str">
        <x:v>Northfield Analytics 076 Pending</x:v>
      </x:c>
      <x:c r="C125" t="str">
        <x:v>Taylor Patel</x:v>
      </x:c>
      <x:c r="D125" t="str">
        <x:v>not-an-email</x:v>
      </x:c>
      <x:c r="E125" t="str">
        <x:v>GA</x:v>
      </x:c>
      <x:c r="F125" t="str">
        <x:v>2026-10-24</x:v>
      </x:c>
      <x:c r="G125" t="str">
        <x:v>manual_form</x:v>
      </x:c>
      <x:c r="H125" t="str">
        <x:f>LOWER(TRIM(D125))</x:f>
        <x:v>not-an-email</x:v>
      </x:c>
      <x:c r="I125" t="str">
        <x:f>IF(AND(LEN(H125)&gt;3,ISNUMBER(SEARCH("@",H125)),ISNUMBER(SEARCH(".",H125))),"YES","NO")</x:f>
        <x:v>NO</x:v>
      </x:c>
      <x:c r="J125" t="n">
        <x:f>IF(H125="",0,COUNTIF($H$6:H125,H125))</x:f>
        <x:v>3</x:v>
      </x:c>
      <x:c r="K125" t="str">
        <x:f>IF(I125="NO","HOLD",IF(J125&gt;1,"DUPLICATE","APPROVED"))</x:f>
        <x:v>HOLD</x:v>
      </x:c>
      <x:c r="L125" t="n">
        <x:f>IF(K125="APPROVED",1,0)</x:f>
        <x:v>0</x:v>
      </x:c>
    </x:row>
  </x:sheetData>
  <x:mergeCells>
    <x:mergeCell ref="A1:L2"/>
    <x:mergeCell ref="A3:L3"/>
  </x:mergeCells>
  <x:conditionalFormatting sqref="K6:K125">
    <x:cfRule type="expression" dxfId="12" priority="1">
      <x:formula>K6="HOLD"</x:formula>
    </x:cfRule>
    <x:cfRule type="expression" dxfId="13" priority="2">
      <x:formula>K6="DUPLICATE"</x:formula>
    </x:cfRule>
    <x:cfRule type="expression" dxfId="14" priority="3">
      <x:formula>K6="APPROVED"</x:formula>
    </x:cfRule>
  </x:conditionalFormatting>
  <x:dataValidations count="1">
    <x:dataValidation type="list" sqref="K6:K125">
      <x:formula1>"APPROVED,DUPLICATE,HOLD"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17" hidden="0" customWidth="1"/>
    <x:col min="3" max="3" width="17" hidden="0" customWidth="1"/>
    <x:col min="4" max="4" width="17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</x:cols>
  <x:sheetData>
    <x:row r="1" ht="24" customHeight="1">
      <x:c r="A1" s="128" t="str">
        <x:v>DATA QUALITY | 120-RECORD EXCEPTION &amp; APPROVAL SUMMARY</x:v>
      </x:c>
      <x:c r="B1" s="128"/>
      <x:c r="C1" s="128"/>
      <x:c r="D1" s="128"/>
      <x:c r="E1" s="128"/>
      <x:c r="F1" s="128"/>
      <x:c r="G1" s="128"/>
      <x:c r="H1" s="128"/>
      <x:c r="I1" s="128"/>
      <x:c r="J1" s="128"/>
    </x:row>
    <x:row r="2" ht="24" customHeight="1">
      <x:c r="A2" s="128"/>
      <x:c r="B2" s="128"/>
      <x:c r="C2" s="128"/>
      <x:c r="D2" s="128"/>
      <x:c r="E2" s="128"/>
      <x:c r="F2" s="128"/>
      <x:c r="G2" s="128"/>
      <x:c r="H2" s="128"/>
      <x:c r="I2" s="128"/>
      <x:c r="J2" s="128"/>
    </x:row>
    <x:row r="4">
      <x:c r="A4" s="126" t="str">
        <x:v>KPI</x:v>
      </x:c>
      <x:c r="B4" s="126" t="str">
        <x:v>Live value</x:v>
      </x:c>
      <x:c r="C4" s="126" t="str">
        <x:v>Expected baseline</x:v>
      </x:c>
      <x:c r="D4" s="126" t="str">
        <x:v>Control</x:v>
      </x:c>
    </x:row>
    <x:row r="5">
      <x:c r="A5" t="str">
        <x:v>Source rows</x:v>
      </x:c>
      <x:c r="B5" t="n">
        <x:f>COUNTA('Expanded Intake 120'!A6:A125)</x:f>
        <x:v>120</x:v>
      </x:c>
      <x:c r="C5" t="n">
        <x:v>120</x:v>
      </x:c>
      <x:c r="D5" t="str">
        <x:f>IF(B5=C5,"PASS","REVIEW")</x:f>
        <x:v>PASS</x:v>
      </x:c>
    </x:row>
    <x:row r="6">
      <x:c r="A6" t="str">
        <x:v>Approved</x:v>
      </x:c>
      <x:c r="B6" t="n">
        <x:f>COUNTIF('Expanded Intake 120'!K6:K125,"APPROVED")</x:f>
        <x:v>104</x:v>
      </x:c>
      <x:c r="C6" t="n">
        <x:v>104</x:v>
      </x:c>
      <x:c r="D6" t="str">
        <x:f>IF(B6=C6,"PASS","REVIEW")</x:f>
        <x:v>PASS</x:v>
      </x:c>
    </x:row>
    <x:row r="7">
      <x:c r="A7" t="str">
        <x:v>Duplicates</x:v>
      </x:c>
      <x:c r="B7" t="n">
        <x:f>COUNTIF('Expanded Intake 120'!K6:K125,"DUPLICATE")</x:f>
        <x:v>10</x:v>
      </x:c>
      <x:c r="C7" t="n">
        <x:v>10</x:v>
      </x:c>
      <x:c r="D7" t="str">
        <x:f>IF(B7=C7,"PASS","REVIEW")</x:f>
        <x:v>PASS</x:v>
      </x:c>
    </x:row>
    <x:row r="8">
      <x:c r="A8" t="str">
        <x:v>Holds</x:v>
      </x:c>
      <x:c r="B8" t="n">
        <x:f>COUNTIF('Expanded Intake 120'!K6:K125,"HOLD")</x:f>
        <x:v>6</x:v>
      </x:c>
      <x:c r="C8" t="n">
        <x:v>6</x:v>
      </x:c>
      <x:c r="D8" t="str">
        <x:f>IF(B8=C8,"PASS","REVIEW")</x:f>
        <x:v>PASS</x:v>
      </x:c>
    </x:row>
    <x:row r="9">
      <x:c r="A9" t="str">
        <x:v>Reconciled</x:v>
      </x:c>
      <x:c r="B9" t="n">
        <x:f>B6+B7+B8</x:f>
        <x:v>120</x:v>
      </x:c>
      <x:c r="C9" t="n">
        <x:v>120</x:v>
      </x:c>
      <x:c r="D9" t="str">
        <x:f>IF(B9=C9,"PASS","REVIEW")</x:f>
        <x:v>PASS</x:v>
      </x:c>
    </x:row>
    <x:row r="12">
      <x:c r="A12" s="126" t="str">
        <x:v>Disposition</x:v>
      </x:c>
      <x:c r="B12" s="126" t="str">
        <x:v>Records</x:v>
      </x:c>
    </x:row>
    <x:row r="13">
      <x:c r="A13" t="str">
        <x:v>Approved</x:v>
      </x:c>
      <x:c r="B13" t="n">
        <x:f>B6</x:f>
        <x:v>104</x:v>
      </x:c>
    </x:row>
    <x:row r="14">
      <x:c r="A14" t="str">
        <x:v>Duplicates</x:v>
      </x:c>
      <x:c r="B14" t="n">
        <x:f>B7</x:f>
        <x:v>10</x:v>
      </x:c>
    </x:row>
    <x:row r="15">
      <x:c r="A15" t="str">
        <x:v>Holds</x:v>
      </x:c>
      <x:c r="B15" t="n">
        <x:f>B8</x:f>
        <x:v>6</x:v>
      </x:c>
    </x:row>
    <x:row r="18" ht="23" customHeight="1">
      <x:c r="A18" s="130" t="str">
        <x:v>Use the native Excel chart and live KPI formulas to explain why holds and duplicates must never enter the published master.</x:v>
      </x:c>
      <x:c r="B18" s="130"/>
      <x:c r="C18" s="130"/>
      <x:c r="D18" s="130"/>
      <x:c r="E18" s="130"/>
      <x:c r="F18" s="130"/>
      <x:c r="G18" s="130"/>
      <x:c r="H18" s="130"/>
      <x:c r="I18" s="130"/>
      <x:c r="J18" s="130"/>
    </x:row>
    <x:row r="19" ht="23" customHeight="1">
      <x:c r="A19" s="130"/>
      <x:c r="B19" s="130"/>
      <x:c r="C19" s="130"/>
      <x:c r="D19" s="130"/>
      <x:c r="E19" s="130"/>
      <x:c r="F19" s="130"/>
      <x:c r="G19" s="130"/>
      <x:c r="H19" s="130"/>
      <x:c r="I19" s="130"/>
      <x:c r="J19" s="130"/>
    </x:row>
  </x:sheetData>
  <x:mergeCells>
    <x:mergeCell ref="A1:J2"/>
    <x:mergeCell ref="A18:J19"/>
  </x:mergeCells>
  <x:pageMargins left="0.7" right="0.7" top="0.75" bottom="0.75" header="0.3" footer="0.3"/>
  <x:drawing xmlns:r="http://schemas.openxmlformats.org/officeDocument/2006/relationships" r:id="R7717b33bba6a4db1"/>
</x:worksheet>
</file>

<file path=xl/worksheets/sheet1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31" hidden="0" customWidth="1"/>
    <x:col min="4" max="4" width="23" hidden="0" customWidth="1"/>
    <x:col min="5" max="5" width="37" hidden="0" customWidth="1"/>
    <x:col min="6" max="6" width="12" hidden="0" customWidth="1"/>
    <x:col min="7" max="7" width="17" hidden="0" customWidth="1"/>
    <x:col min="8" max="8" width="15" hidden="0" customWidth="1"/>
  </x:cols>
  <x:sheetData>
    <x:row r="1">
      <x:c r="A1" s="131" t="str">
        <x:v>Master ID</x:v>
      </x:c>
      <x:c r="B1" s="131" t="str">
        <x:v>Source ID</x:v>
      </x:c>
      <x:c r="C1" s="131" t="str">
        <x:v>Organization</x:v>
      </x:c>
      <x:c r="D1" s="131" t="str">
        <x:v>Contact</x:v>
      </x:c>
      <x:c r="E1" s="131" t="str">
        <x:v>Email</x:v>
      </x:c>
      <x:c r="F1" s="131" t="str">
        <x:v>State</x:v>
      </x:c>
      <x:c r="G1" s="131" t="str">
        <x:v>Date</x:v>
      </x:c>
      <x:c r="H1" s="131" t="str">
        <x:v>Status</x:v>
      </x:c>
    </x:row>
    <x:row r="2">
      <x:c r="A2" t="str">
        <x:v>K-0001</x:v>
      </x:c>
      <x:c r="B2" t="str">
        <x:v>B-001</x:v>
      </x:c>
      <x:c r="C2" t="str">
        <x:v>Northfield Consulting 001</x:v>
      </x:c>
      <x:c r="D2" t="str">
        <x:v>Ari Morgan</x:v>
      </x:c>
      <x:c r="E2" t="str">
        <x:v>account001@portfolio.example</x:v>
      </x:c>
      <x:c r="F2" t="str">
        <x:v>NC</x:v>
      </x:c>
      <x:c r="G2" t="str">
        <x:v>2026-10-01</x:v>
      </x:c>
      <x:c r="H2" t="str">
        <x:v>Active</x:v>
      </x:c>
    </x:row>
    <x:row r="3">
      <x:c r="A3" t="str">
        <x:v>K-0002</x:v>
      </x:c>
      <x:c r="B3" t="str">
        <x:v>B-002</x:v>
      </x:c>
      <x:c r="C3" t="str">
        <x:v>Cedarwood Consulting 002</x:v>
      </x:c>
      <x:c r="D3" t="str">
        <x:v>Dana Lee</x:v>
      </x:c>
      <x:c r="E3" t="str">
        <x:v>account002@portfolio.example</x:v>
      </x:c>
      <x:c r="F3" t="str">
        <x:v>SC</x:v>
      </x:c>
      <x:c r="G3" t="str">
        <x:v>2026-10-02</x:v>
      </x:c>
      <x:c r="H3" t="str">
        <x:v>Active</x:v>
      </x:c>
    </x:row>
    <x:row r="4">
      <x:c r="A4" t="str">
        <x:v>K-0003</x:v>
      </x:c>
      <x:c r="B4" t="str">
        <x:v>B-003</x:v>
      </x:c>
      <x:c r="C4" t="str">
        <x:v>Brookline Consulting 003</x:v>
      </x:c>
      <x:c r="D4" t="str">
        <x:v>Mica Parker</x:v>
      </x:c>
      <x:c r="E4" t="str">
        <x:v>account003@portfolio.example</x:v>
      </x:c>
      <x:c r="F4" t="str">
        <x:v>VA</x:v>
      </x:c>
      <x:c r="G4" t="str">
        <x:v>2026-10-03</x:v>
      </x:c>
      <x:c r="H4" t="str">
        <x:v>Active</x:v>
      </x:c>
    </x:row>
    <x:row r="5">
      <x:c r="A5" t="str">
        <x:v>K-0004</x:v>
      </x:c>
      <x:c r="B5" t="str">
        <x:v>B-004</x:v>
      </x:c>
      <x:c r="C5" t="str">
        <x:v>Sable Consulting 004</x:v>
      </x:c>
      <x:c r="D5" t="str">
        <x:v>Noel West</x:v>
      </x:c>
      <x:c r="E5" t="str">
        <x:v>account004@portfolio.example</x:v>
      </x:c>
      <x:c r="F5" t="str">
        <x:v>GA</x:v>
      </x:c>
      <x:c r="G5" t="str">
        <x:v>2026-10-04</x:v>
      </x:c>
      <x:c r="H5" t="str">
        <x:v>Active</x:v>
      </x:c>
    </x:row>
    <x:row r="6">
      <x:c r="A6" t="str">
        <x:v>K-0005</x:v>
      </x:c>
      <x:c r="B6" t="str">
        <x:v>B-005</x:v>
      </x:c>
      <x:c r="C6" t="str">
        <x:v>Everview Consulting 005</x:v>
      </x:c>
      <x:c r="D6" t="str">
        <x:v>Jules Reed</x:v>
      </x:c>
      <x:c r="E6" t="str">
        <x:v>account005@portfolio.example</x:v>
      </x:c>
      <x:c r="F6" t="str">
        <x:v>FL</x:v>
      </x:c>
      <x:c r="G6" t="str">
        <x:v>2026-10-05</x:v>
      </x:c>
      <x:c r="H6" t="str">
        <x:v>Active</x:v>
      </x:c>
    </x:row>
    <x:row r="7">
      <x:c r="A7" t="str">
        <x:v>K-0006</x:v>
      </x:c>
      <x:c r="B7" t="str">
        <x:v>B-006</x:v>
      </x:c>
      <x:c r="C7" t="str">
        <x:v>Frostline Consulting 006</x:v>
      </x:c>
      <x:c r="D7" t="str">
        <x:v>Taylor Patel</x:v>
      </x:c>
      <x:c r="E7" t="str">
        <x:v>account006@portfolio.example</x:v>
      </x:c>
      <x:c r="F7" t="str">
        <x:v>TN</x:v>
      </x:c>
      <x:c r="G7" t="str">
        <x:v>2026-10-06</x:v>
      </x:c>
      <x:c r="H7" t="str">
        <x:v>Active</x:v>
      </x:c>
    </x:row>
    <x:row r="8">
      <x:c r="A8" t="str">
        <x:v>K-0007</x:v>
      </x:c>
      <x:c r="B8" t="str">
        <x:v>B-007</x:v>
      </x:c>
      <x:c r="C8" t="str">
        <x:v>Summit Consulting 007</x:v>
      </x:c>
      <x:c r="D8" t="str">
        <x:v>Remy Ford</x:v>
      </x:c>
      <x:c r="E8" t="str">
        <x:v>account007@portfolio.example</x:v>
      </x:c>
      <x:c r="F8" t="str">
        <x:v>TX</x:v>
      </x:c>
      <x:c r="G8" t="str">
        <x:v>2026-10-07</x:v>
      </x:c>
      <x:c r="H8" t="str">
        <x:v>Active</x:v>
      </x:c>
    </x:row>
    <x:row r="9">
      <x:c r="A9" t="str">
        <x:v>K-0008</x:v>
      </x:c>
      <x:c r="B9" t="str">
        <x:v>B-008</x:v>
      </x:c>
      <x:c r="C9" t="str">
        <x:v>Pinefield Consulting 008</x:v>
      </x:c>
      <x:c r="D9" t="str">
        <x:v>Morgan Morgan</x:v>
      </x:c>
      <x:c r="E9" t="str">
        <x:v>account008@portfolio.example</x:v>
      </x:c>
      <x:c r="F9" t="str">
        <x:v>MD</x:v>
      </x:c>
      <x:c r="G9" t="str">
        <x:v>2026-10-08</x:v>
      </x:c>
      <x:c r="H9" t="str">
        <x:v>Active</x:v>
      </x:c>
    </x:row>
    <x:row r="10">
      <x:c r="A10" t="str">
        <x:v>K-0009</x:v>
      </x:c>
      <x:c r="B10" t="str">
        <x:v>B-009</x:v>
      </x:c>
      <x:c r="C10" t="str">
        <x:v>Mariner Consulting 009</x:v>
      </x:c>
      <x:c r="D10" t="str">
        <x:v>Quinn Lee</x:v>
      </x:c>
      <x:c r="E10" t="str">
        <x:v>account009@portfolio.example</x:v>
      </x:c>
      <x:c r="F10" t="str">
        <x:v>NC</x:v>
      </x:c>
      <x:c r="G10" t="str">
        <x:v>2026-10-09</x:v>
      </x:c>
      <x:c r="H10" t="str">
        <x:v>Active</x:v>
      </x:c>
    </x:row>
    <x:row r="11">
      <x:c r="A11" t="str">
        <x:v>K-0010</x:v>
      </x:c>
      <x:c r="B11" t="str">
        <x:v>B-010</x:v>
      </x:c>
      <x:c r="C11" t="str">
        <x:v>White Oak Consulting 010</x:v>
      </x:c>
      <x:c r="D11" t="str">
        <x:v>Eli Parker</x:v>
      </x:c>
      <x:c r="E11" t="str">
        <x:v>account010@portfolio.example</x:v>
      </x:c>
      <x:c r="F11" t="str">
        <x:v>SC</x:v>
      </x:c>
      <x:c r="G11" t="str">
        <x:v>2026-10-10</x:v>
      </x:c>
      <x:c r="H11" t="str">
        <x:v>Active</x:v>
      </x:c>
    </x:row>
    <x:row r="12">
      <x:c r="A12" t="str">
        <x:v>K-0011</x:v>
      </x:c>
      <x:c r="B12" t="str">
        <x:v>B-011</x:v>
      </x:c>
      <x:c r="C12" t="str">
        <x:v>Silvercrest Consulting 011</x:v>
      </x:c>
      <x:c r="D12" t="str">
        <x:v>Ari West</x:v>
      </x:c>
      <x:c r="E12" t="str">
        <x:v>account011@portfolio.example</x:v>
      </x:c>
      <x:c r="F12" t="str">
        <x:v>VA</x:v>
      </x:c>
      <x:c r="G12" t="str">
        <x:v>2026-10-11</x:v>
      </x:c>
      <x:c r="H12" t="str">
        <x:v>Active</x:v>
      </x:c>
    </x:row>
    <x:row r="13">
      <x:c r="A13" t="str">
        <x:v>K-0012</x:v>
      </x:c>
      <x:c r="B13" t="str">
        <x:v>B-012</x:v>
      </x:c>
      <x:c r="C13" t="str">
        <x:v>Ironwood Consulting 012</x:v>
      </x:c>
      <x:c r="D13" t="str">
        <x:v>Dana Reed</x:v>
      </x:c>
      <x:c r="E13" t="str">
        <x:v>account012@portfolio.example</x:v>
      </x:c>
      <x:c r="F13" t="str">
        <x:v>GA</x:v>
      </x:c>
      <x:c r="G13" t="str">
        <x:v>2026-10-12</x:v>
      </x:c>
      <x:c r="H13" t="str">
        <x:v>Active</x:v>
      </x:c>
    </x:row>
    <x:row r="14">
      <x:c r="A14" t="str">
        <x:v>K-0013</x:v>
      </x:c>
      <x:c r="B14" t="str">
        <x:v>B-013</x:v>
      </x:c>
      <x:c r="C14" t="str">
        <x:v>Clearwater Consulting 013</x:v>
      </x:c>
      <x:c r="D14" t="str">
        <x:v>Mica Patel</x:v>
      </x:c>
      <x:c r="E14" t="str">
        <x:v>account013@portfolio.example</x:v>
      </x:c>
      <x:c r="F14" t="str">
        <x:v>FL</x:v>
      </x:c>
      <x:c r="G14" t="str">
        <x:v>2026-10-13</x:v>
      </x:c>
      <x:c r="H14" t="str">
        <x:v>Active</x:v>
      </x:c>
    </x:row>
    <x:row r="15">
      <x:c r="A15" t="str">
        <x:v>K-0014</x:v>
      </x:c>
      <x:c r="B15" t="str">
        <x:v>B-014</x:v>
      </x:c>
      <x:c r="C15" t="str">
        <x:v>Stonebridge Consulting 014</x:v>
      </x:c>
      <x:c r="D15" t="str">
        <x:v>Noel Ford</x:v>
      </x:c>
      <x:c r="E15" t="str">
        <x:v>account014@portfolio.example</x:v>
      </x:c>
      <x:c r="F15" t="str">
        <x:v>TN</x:v>
      </x:c>
      <x:c r="G15" t="str">
        <x:v>2026-10-14</x:v>
      </x:c>
      <x:c r="H15" t="str">
        <x:v>Active</x:v>
      </x:c>
    </x:row>
    <x:row r="16">
      <x:c r="A16" t="str">
        <x:v>K-0015</x:v>
      </x:c>
      <x:c r="B16" t="str">
        <x:v>B-015</x:v>
      </x:c>
      <x:c r="C16" t="str">
        <x:v>Brighton Consulting 015</x:v>
      </x:c>
      <x:c r="D16" t="str">
        <x:v>Jules Morgan</x:v>
      </x:c>
      <x:c r="E16" t="str">
        <x:v>account015@portfolio.example</x:v>
      </x:c>
      <x:c r="F16" t="str">
        <x:v>TX</x:v>
      </x:c>
      <x:c r="G16" t="str">
        <x:v>2026-10-15</x:v>
      </x:c>
      <x:c r="H16" t="str">
        <x:v>Active</x:v>
      </x:c>
    </x:row>
    <x:row r="17">
      <x:c r="A17" t="str">
        <x:v>K-0016</x:v>
      </x:c>
      <x:c r="B17" t="str">
        <x:v>B-016</x:v>
      </x:c>
      <x:c r="C17" t="str">
        <x:v>Northfield Office Services 016</x:v>
      </x:c>
      <x:c r="D17" t="str">
        <x:v>Taylor Lee</x:v>
      </x:c>
      <x:c r="E17" t="str">
        <x:v>account016@portfolio.example</x:v>
      </x:c>
      <x:c r="F17" t="str">
        <x:v>MD</x:v>
      </x:c>
      <x:c r="G17" t="str">
        <x:v>2026-10-16</x:v>
      </x:c>
      <x:c r="H17" t="str">
        <x:v>Active</x:v>
      </x:c>
    </x:row>
    <x:row r="18">
      <x:c r="A18" t="str">
        <x:v>K-0017</x:v>
      </x:c>
      <x:c r="B18" t="str">
        <x:v>B-017</x:v>
      </x:c>
      <x:c r="C18" t="str">
        <x:v>Cedarwood Office Services 017</x:v>
      </x:c>
      <x:c r="D18" t="str">
        <x:v>Remy Parker</x:v>
      </x:c>
      <x:c r="E18" t="str">
        <x:v>account017@portfolio.example</x:v>
      </x:c>
      <x:c r="F18" t="str">
        <x:v>NC</x:v>
      </x:c>
      <x:c r="G18" t="str">
        <x:v>2026-10-17</x:v>
      </x:c>
      <x:c r="H18" t="str">
        <x:v>Active</x:v>
      </x:c>
    </x:row>
    <x:row r="19">
      <x:c r="A19" t="str">
        <x:v>K-0018</x:v>
      </x:c>
      <x:c r="B19" t="str">
        <x:v>B-018</x:v>
      </x:c>
      <x:c r="C19" t="str">
        <x:v>Brookline Office Services 018</x:v>
      </x:c>
      <x:c r="D19" t="str">
        <x:v>Morgan West</x:v>
      </x:c>
      <x:c r="E19" t="str">
        <x:v>account018@portfolio.example</x:v>
      </x:c>
      <x:c r="F19" t="str">
        <x:v>SC</x:v>
      </x:c>
      <x:c r="G19" t="str">
        <x:v>2026-10-18</x:v>
      </x:c>
      <x:c r="H19" t="str">
        <x:v>Active</x:v>
      </x:c>
    </x:row>
    <x:row r="20">
      <x:c r="A20" t="str">
        <x:v>K-0019</x:v>
      </x:c>
      <x:c r="B20" t="str">
        <x:v>B-019</x:v>
      </x:c>
      <x:c r="C20" t="str">
        <x:v>Sable Office Services 019</x:v>
      </x:c>
      <x:c r="D20" t="str">
        <x:v>Quinn Reed</x:v>
      </x:c>
      <x:c r="E20" t="str">
        <x:v>account019@portfolio.example</x:v>
      </x:c>
      <x:c r="F20" t="str">
        <x:v>VA</x:v>
      </x:c>
      <x:c r="G20" t="str">
        <x:v>2026-10-19</x:v>
      </x:c>
      <x:c r="H20" t="str">
        <x:v>Active</x:v>
      </x:c>
    </x:row>
    <x:row r="21">
      <x:c r="A21" t="str">
        <x:v>K-0020</x:v>
      </x:c>
      <x:c r="B21" t="str">
        <x:v>B-020</x:v>
      </x:c>
      <x:c r="C21" t="str">
        <x:v>Everview Office Services 020</x:v>
      </x:c>
      <x:c r="D21" t="str">
        <x:v>Eli Patel</x:v>
      </x:c>
      <x:c r="E21" t="str">
        <x:v>account020@portfolio.example</x:v>
      </x:c>
      <x:c r="F21" t="str">
        <x:v>GA</x:v>
      </x:c>
      <x:c r="G21" t="str">
        <x:v>2026-10-20</x:v>
      </x:c>
      <x:c r="H21" t="str">
        <x:v>Active</x:v>
      </x:c>
    </x:row>
    <x:row r="22">
      <x:c r="A22" t="str">
        <x:v>K-0021</x:v>
      </x:c>
      <x:c r="B22" t="str">
        <x:v>B-021</x:v>
      </x:c>
      <x:c r="C22" t="str">
        <x:v>Frostline Office Services 021</x:v>
      </x:c>
      <x:c r="D22" t="str">
        <x:v>Ari Ford</x:v>
      </x:c>
      <x:c r="E22" t="str">
        <x:v>account021@portfolio.example</x:v>
      </x:c>
      <x:c r="F22" t="str">
        <x:v>FL</x:v>
      </x:c>
      <x:c r="G22" t="str">
        <x:v>2026-10-21</x:v>
      </x:c>
      <x:c r="H22" t="str">
        <x:v>Active</x:v>
      </x:c>
    </x:row>
    <x:row r="23">
      <x:c r="A23" t="str">
        <x:v>K-0022</x:v>
      </x:c>
      <x:c r="B23" t="str">
        <x:v>B-022</x:v>
      </x:c>
      <x:c r="C23" t="str">
        <x:v>Summit Office Services 022</x:v>
      </x:c>
      <x:c r="D23" t="str">
        <x:v>Dana Morgan</x:v>
      </x:c>
      <x:c r="E23" t="str">
        <x:v>account022@portfolio.example</x:v>
      </x:c>
      <x:c r="F23" t="str">
        <x:v>TN</x:v>
      </x:c>
      <x:c r="G23" t="str">
        <x:v>2026-10-22</x:v>
      </x:c>
      <x:c r="H23" t="str">
        <x:v>Active</x:v>
      </x:c>
    </x:row>
    <x:row r="24">
      <x:c r="A24" t="str">
        <x:v>K-0023</x:v>
      </x:c>
      <x:c r="B24" t="str">
        <x:v>B-023</x:v>
      </x:c>
      <x:c r="C24" t="str">
        <x:v>Pinefield Office Services 023</x:v>
      </x:c>
      <x:c r="D24" t="str">
        <x:v>Mica Lee</x:v>
      </x:c>
      <x:c r="E24" t="str">
        <x:v>account023@portfolio.example</x:v>
      </x:c>
      <x:c r="F24" t="str">
        <x:v>TX</x:v>
      </x:c>
      <x:c r="G24" t="str">
        <x:v>2026-10-23</x:v>
      </x:c>
      <x:c r="H24" t="str">
        <x:v>Active</x:v>
      </x:c>
    </x:row>
    <x:row r="25">
      <x:c r="A25" t="str">
        <x:v>K-0024</x:v>
      </x:c>
      <x:c r="B25" t="str">
        <x:v>B-024</x:v>
      </x:c>
      <x:c r="C25" t="str">
        <x:v>Mariner Office Services 024</x:v>
      </x:c>
      <x:c r="D25" t="str">
        <x:v>Noel Parker</x:v>
      </x:c>
      <x:c r="E25" t="str">
        <x:v>account024@portfolio.example</x:v>
      </x:c>
      <x:c r="F25" t="str">
        <x:v>MD</x:v>
      </x:c>
      <x:c r="G25" t="str">
        <x:v>2026-10-24</x:v>
      </x:c>
      <x:c r="H25" t="str">
        <x:v>Active</x:v>
      </x:c>
    </x:row>
    <x:row r="26">
      <x:c r="A26" t="str">
        <x:v>K-0025</x:v>
      </x:c>
      <x:c r="B26" t="str">
        <x:v>B-025</x:v>
      </x:c>
      <x:c r="C26" t="str">
        <x:v>White Oak Office Services 025</x:v>
      </x:c>
      <x:c r="D26" t="str">
        <x:v>Jules West</x:v>
      </x:c>
      <x:c r="E26" t="str">
        <x:v>account025@portfolio.example</x:v>
      </x:c>
      <x:c r="F26" t="str">
        <x:v>NC</x:v>
      </x:c>
      <x:c r="G26" t="str">
        <x:v>2026-10-25</x:v>
      </x:c>
      <x:c r="H26" t="str">
        <x:v>Active</x:v>
      </x:c>
    </x:row>
    <x:row r="27">
      <x:c r="A27" t="str">
        <x:v>K-0026</x:v>
      </x:c>
      <x:c r="B27" t="str">
        <x:v>B-026</x:v>
      </x:c>
      <x:c r="C27" t="str">
        <x:v>Silvercrest Office Services 026</x:v>
      </x:c>
      <x:c r="D27" t="str">
        <x:v>Taylor Reed</x:v>
      </x:c>
      <x:c r="E27" t="str">
        <x:v>account026@portfolio.example</x:v>
      </x:c>
      <x:c r="F27" t="str">
        <x:v>SC</x:v>
      </x:c>
      <x:c r="G27" t="str">
        <x:v>2026-10-26</x:v>
      </x:c>
      <x:c r="H27" t="str">
        <x:v>Active</x:v>
      </x:c>
    </x:row>
    <x:row r="28">
      <x:c r="A28" t="str">
        <x:v>K-0027</x:v>
      </x:c>
      <x:c r="B28" t="str">
        <x:v>B-027</x:v>
      </x:c>
      <x:c r="C28" t="str">
        <x:v>Ironwood Office Services 027</x:v>
      </x:c>
      <x:c r="D28" t="str">
        <x:v>Remy Patel</x:v>
      </x:c>
      <x:c r="E28" t="str">
        <x:v>account027@portfolio.example</x:v>
      </x:c>
      <x:c r="F28" t="str">
        <x:v>VA</x:v>
      </x:c>
      <x:c r="G28" t="str">
        <x:v>2026-10-01</x:v>
      </x:c>
      <x:c r="H28" t="str">
        <x:v>Active</x:v>
      </x:c>
    </x:row>
    <x:row r="29">
      <x:c r="A29" t="str">
        <x:v>K-0028</x:v>
      </x:c>
      <x:c r="B29" t="str">
        <x:v>B-028</x:v>
      </x:c>
      <x:c r="C29" t="str">
        <x:v>Clearwater Office Services 028</x:v>
      </x:c>
      <x:c r="D29" t="str">
        <x:v>Morgan Ford</x:v>
      </x:c>
      <x:c r="E29" t="str">
        <x:v>account028@portfolio.example</x:v>
      </x:c>
      <x:c r="F29" t="str">
        <x:v>GA</x:v>
      </x:c>
      <x:c r="G29" t="str">
        <x:v>2026-10-02</x:v>
      </x:c>
      <x:c r="H29" t="str">
        <x:v>Active</x:v>
      </x:c>
    </x:row>
    <x:row r="30">
      <x:c r="A30" t="str">
        <x:v>K-0029</x:v>
      </x:c>
      <x:c r="B30" t="str">
        <x:v>B-029</x:v>
      </x:c>
      <x:c r="C30" t="str">
        <x:v>Stonebridge Office Services 029</x:v>
      </x:c>
      <x:c r="D30" t="str">
        <x:v>Quinn Morgan</x:v>
      </x:c>
      <x:c r="E30" t="str">
        <x:v>account029@portfolio.example</x:v>
      </x:c>
      <x:c r="F30" t="str">
        <x:v>FL</x:v>
      </x:c>
      <x:c r="G30" t="str">
        <x:v>2026-10-03</x:v>
      </x:c>
      <x:c r="H30" t="str">
        <x:v>Active</x:v>
      </x:c>
    </x:row>
    <x:row r="31">
      <x:c r="A31" t="str">
        <x:v>K-0030</x:v>
      </x:c>
      <x:c r="B31" t="str">
        <x:v>B-030</x:v>
      </x:c>
      <x:c r="C31" t="str">
        <x:v>Brighton Office Services 030</x:v>
      </x:c>
      <x:c r="D31" t="str">
        <x:v>Eli Lee</x:v>
      </x:c>
      <x:c r="E31" t="str">
        <x:v>account030@portfolio.example</x:v>
      </x:c>
      <x:c r="F31" t="str">
        <x:v>TN</x:v>
      </x:c>
      <x:c r="G31" t="str">
        <x:v>2026-10-04</x:v>
      </x:c>
      <x:c r="H31" t="str">
        <x:v>Active</x:v>
      </x:c>
    </x:row>
    <x:row r="32">
      <x:c r="A32" t="str">
        <x:v>K-0031</x:v>
      </x:c>
      <x:c r="B32" t="str">
        <x:v>B-031</x:v>
      </x:c>
      <x:c r="C32" t="str">
        <x:v>Northfield Distribution 031</x:v>
      </x:c>
      <x:c r="D32" t="str">
        <x:v>Ari Parker</x:v>
      </x:c>
      <x:c r="E32" t="str">
        <x:v>account031@portfolio.example</x:v>
      </x:c>
      <x:c r="F32" t="str">
        <x:v>TX</x:v>
      </x:c>
      <x:c r="G32" t="str">
        <x:v>2026-10-05</x:v>
      </x:c>
      <x:c r="H32" t="str">
        <x:v>Active</x:v>
      </x:c>
    </x:row>
    <x:row r="33">
      <x:c r="A33" t="str">
        <x:v>K-0032</x:v>
      </x:c>
      <x:c r="B33" t="str">
        <x:v>B-032</x:v>
      </x:c>
      <x:c r="C33" t="str">
        <x:v>Cedarwood Distribution 032</x:v>
      </x:c>
      <x:c r="D33" t="str">
        <x:v>Dana West</x:v>
      </x:c>
      <x:c r="E33" t="str">
        <x:v>account032@portfolio.example</x:v>
      </x:c>
      <x:c r="F33" t="str">
        <x:v>MD</x:v>
      </x:c>
      <x:c r="G33" t="str">
        <x:v>2026-10-06</x:v>
      </x:c>
      <x:c r="H33" t="str">
        <x:v>Active</x:v>
      </x:c>
    </x:row>
    <x:row r="34">
      <x:c r="A34" t="str">
        <x:v>K-0033</x:v>
      </x:c>
      <x:c r="B34" t="str">
        <x:v>B-033</x:v>
      </x:c>
      <x:c r="C34" t="str">
        <x:v>Brookline Distribution 033</x:v>
      </x:c>
      <x:c r="D34" t="str">
        <x:v>Mica Reed</x:v>
      </x:c>
      <x:c r="E34" t="str">
        <x:v>account033@portfolio.example</x:v>
      </x:c>
      <x:c r="F34" t="str">
        <x:v>NC</x:v>
      </x:c>
      <x:c r="G34" t="str">
        <x:v>2026-10-07</x:v>
      </x:c>
      <x:c r="H34" t="str">
        <x:v>Active</x:v>
      </x:c>
    </x:row>
    <x:row r="35">
      <x:c r="A35" t="str">
        <x:v>K-0034</x:v>
      </x:c>
      <x:c r="B35" t="str">
        <x:v>B-034</x:v>
      </x:c>
      <x:c r="C35" t="str">
        <x:v>Sable Distribution 034</x:v>
      </x:c>
      <x:c r="D35" t="str">
        <x:v>Noel Patel</x:v>
      </x:c>
      <x:c r="E35" t="str">
        <x:v>account034@portfolio.example</x:v>
      </x:c>
      <x:c r="F35" t="str">
        <x:v>SC</x:v>
      </x:c>
      <x:c r="G35" t="str">
        <x:v>2026-10-08</x:v>
      </x:c>
      <x:c r="H35" t="str">
        <x:v>Active</x:v>
      </x:c>
    </x:row>
    <x:row r="36">
      <x:c r="A36" t="str">
        <x:v>K-0035</x:v>
      </x:c>
      <x:c r="B36" t="str">
        <x:v>B-035</x:v>
      </x:c>
      <x:c r="C36" t="str">
        <x:v>Everview Distribution 035</x:v>
      </x:c>
      <x:c r="D36" t="str">
        <x:v>Jules Ford</x:v>
      </x:c>
      <x:c r="E36" t="str">
        <x:v>account035@portfolio.example</x:v>
      </x:c>
      <x:c r="F36" t="str">
        <x:v>VA</x:v>
      </x:c>
      <x:c r="G36" t="str">
        <x:v>2026-10-09</x:v>
      </x:c>
      <x:c r="H36" t="str">
        <x:v>Active</x:v>
      </x:c>
    </x:row>
    <x:row r="37">
      <x:c r="A37" t="str">
        <x:v>K-0036</x:v>
      </x:c>
      <x:c r="B37" t="str">
        <x:v>B-036</x:v>
      </x:c>
      <x:c r="C37" t="str">
        <x:v>Frostline Distribution 036</x:v>
      </x:c>
      <x:c r="D37" t="str">
        <x:v>Taylor Morgan</x:v>
      </x:c>
      <x:c r="E37" t="str">
        <x:v>account036@portfolio.example</x:v>
      </x:c>
      <x:c r="F37" t="str">
        <x:v>GA</x:v>
      </x:c>
      <x:c r="G37" t="str">
        <x:v>2026-10-10</x:v>
      </x:c>
      <x:c r="H37" t="str">
        <x:v>Active</x:v>
      </x:c>
    </x:row>
    <x:row r="38">
      <x:c r="A38" t="str">
        <x:v>K-0037</x:v>
      </x:c>
      <x:c r="B38" t="str">
        <x:v>B-037</x:v>
      </x:c>
      <x:c r="C38" t="str">
        <x:v>Summit Distribution 037</x:v>
      </x:c>
      <x:c r="D38" t="str">
        <x:v>Remy Lee</x:v>
      </x:c>
      <x:c r="E38" t="str">
        <x:v>account037@portfolio.example</x:v>
      </x:c>
      <x:c r="F38" t="str">
        <x:v>FL</x:v>
      </x:c>
      <x:c r="G38" t="str">
        <x:v>2026-10-11</x:v>
      </x:c>
      <x:c r="H38" t="str">
        <x:v>Active</x:v>
      </x:c>
    </x:row>
    <x:row r="39">
      <x:c r="A39" t="str">
        <x:v>K-0038</x:v>
      </x:c>
      <x:c r="B39" t="str">
        <x:v>B-038</x:v>
      </x:c>
      <x:c r="C39" t="str">
        <x:v>Pinefield Distribution 038</x:v>
      </x:c>
      <x:c r="D39" t="str">
        <x:v>Morgan Parker</x:v>
      </x:c>
      <x:c r="E39" t="str">
        <x:v>account038@portfolio.example</x:v>
      </x:c>
      <x:c r="F39" t="str">
        <x:v>TN</x:v>
      </x:c>
      <x:c r="G39" t="str">
        <x:v>2026-10-12</x:v>
      </x:c>
      <x:c r="H39" t="str">
        <x:v>Active</x:v>
      </x:c>
    </x:row>
    <x:row r="40">
      <x:c r="A40" t="str">
        <x:v>K-0039</x:v>
      </x:c>
      <x:c r="B40" t="str">
        <x:v>B-039</x:v>
      </x:c>
      <x:c r="C40" t="str">
        <x:v>Mariner Distribution 039</x:v>
      </x:c>
      <x:c r="D40" t="str">
        <x:v>Quinn West</x:v>
      </x:c>
      <x:c r="E40" t="str">
        <x:v>account039@portfolio.example</x:v>
      </x:c>
      <x:c r="F40" t="str">
        <x:v>TX</x:v>
      </x:c>
      <x:c r="G40" t="str">
        <x:v>2026-10-13</x:v>
      </x:c>
      <x:c r="H40" t="str">
        <x:v>Active</x:v>
      </x:c>
    </x:row>
    <x:row r="41">
      <x:c r="A41" t="str">
        <x:v>K-0040</x:v>
      </x:c>
      <x:c r="B41" t="str">
        <x:v>B-040</x:v>
      </x:c>
      <x:c r="C41" t="str">
        <x:v>White Oak Distribution 040</x:v>
      </x:c>
      <x:c r="D41" t="str">
        <x:v>Eli Reed</x:v>
      </x:c>
      <x:c r="E41" t="str">
        <x:v>account040@portfolio.example</x:v>
      </x:c>
      <x:c r="F41" t="str">
        <x:v>MD</x:v>
      </x:c>
      <x:c r="G41" t="str">
        <x:v>2026-10-14</x:v>
      </x:c>
      <x:c r="H41" t="str">
        <x:v>Active</x:v>
      </x:c>
    </x:row>
    <x:row r="42">
      <x:c r="A42" t="str">
        <x:v>K-0041</x:v>
      </x:c>
      <x:c r="B42" t="str">
        <x:v>B-041</x:v>
      </x:c>
      <x:c r="C42" t="str">
        <x:v>Silvercrest Distribution 041</x:v>
      </x:c>
      <x:c r="D42" t="str">
        <x:v>Ari Patel</x:v>
      </x:c>
      <x:c r="E42" t="str">
        <x:v>account041@portfolio.example</x:v>
      </x:c>
      <x:c r="F42" t="str">
        <x:v>NC</x:v>
      </x:c>
      <x:c r="G42" t="str">
        <x:v>2026-10-15</x:v>
      </x:c>
      <x:c r="H42" t="str">
        <x:v>Active</x:v>
      </x:c>
    </x:row>
    <x:row r="43">
      <x:c r="A43" t="str">
        <x:v>K-0042</x:v>
      </x:c>
      <x:c r="B43" t="str">
        <x:v>B-042</x:v>
      </x:c>
      <x:c r="C43" t="str">
        <x:v>Ironwood Distribution 042</x:v>
      </x:c>
      <x:c r="D43" t="str">
        <x:v>Dana Ford</x:v>
      </x:c>
      <x:c r="E43" t="str">
        <x:v>account042@portfolio.example</x:v>
      </x:c>
      <x:c r="F43" t="str">
        <x:v>SC</x:v>
      </x:c>
      <x:c r="G43" t="str">
        <x:v>2026-10-16</x:v>
      </x:c>
      <x:c r="H43" t="str">
        <x:v>Active</x:v>
      </x:c>
    </x:row>
    <x:row r="44">
      <x:c r="A44" t="str">
        <x:v>K-0043</x:v>
      </x:c>
      <x:c r="B44" t="str">
        <x:v>B-043</x:v>
      </x:c>
      <x:c r="C44" t="str">
        <x:v>Clearwater Distribution 043</x:v>
      </x:c>
      <x:c r="D44" t="str">
        <x:v>Mica Morgan</x:v>
      </x:c>
      <x:c r="E44" t="str">
        <x:v>account043@portfolio.example</x:v>
      </x:c>
      <x:c r="F44" t="str">
        <x:v>VA</x:v>
      </x:c>
      <x:c r="G44" t="str">
        <x:v>2026-10-17</x:v>
      </x:c>
      <x:c r="H44" t="str">
        <x:v>Active</x:v>
      </x:c>
    </x:row>
    <x:row r="45">
      <x:c r="A45" t="str">
        <x:v>K-0044</x:v>
      </x:c>
      <x:c r="B45" t="str">
        <x:v>B-044</x:v>
      </x:c>
      <x:c r="C45" t="str">
        <x:v>Stonebridge Distribution 044</x:v>
      </x:c>
      <x:c r="D45" t="str">
        <x:v>Noel Lee</x:v>
      </x:c>
      <x:c r="E45" t="str">
        <x:v>account044@portfolio.example</x:v>
      </x:c>
      <x:c r="F45" t="str">
        <x:v>GA</x:v>
      </x:c>
      <x:c r="G45" t="str">
        <x:v>2026-10-18</x:v>
      </x:c>
      <x:c r="H45" t="str">
        <x:v>Active</x:v>
      </x:c>
    </x:row>
    <x:row r="46">
      <x:c r="A46" t="str">
        <x:v>K-0045</x:v>
      </x:c>
      <x:c r="B46" t="str">
        <x:v>B-045</x:v>
      </x:c>
      <x:c r="C46" t="str">
        <x:v>Brighton Distribution 045</x:v>
      </x:c>
      <x:c r="D46" t="str">
        <x:v>Jules Parker</x:v>
      </x:c>
      <x:c r="E46" t="str">
        <x:v>account045@portfolio.example</x:v>
      </x:c>
      <x:c r="F46" t="str">
        <x:v>FL</x:v>
      </x:c>
      <x:c r="G46" t="str">
        <x:v>2026-10-19</x:v>
      </x:c>
      <x:c r="H46" t="str">
        <x:v>Active</x:v>
      </x:c>
    </x:row>
    <x:row r="47">
      <x:c r="A47" t="str">
        <x:v>K-0046</x:v>
      </x:c>
      <x:c r="B47" t="str">
        <x:v>B-046</x:v>
      </x:c>
      <x:c r="C47" t="str">
        <x:v>Northfield It Services 046</x:v>
      </x:c>
      <x:c r="D47" t="str">
        <x:v>Taylor West</x:v>
      </x:c>
      <x:c r="E47" t="str">
        <x:v>account046@portfolio.example</x:v>
      </x:c>
      <x:c r="F47" t="str">
        <x:v>TN</x:v>
      </x:c>
      <x:c r="G47" t="str">
        <x:v>2026-10-20</x:v>
      </x:c>
      <x:c r="H47" t="str">
        <x:v>Active</x:v>
      </x:c>
    </x:row>
    <x:row r="48">
      <x:c r="A48" t="str">
        <x:v>K-0047</x:v>
      </x:c>
      <x:c r="B48" t="str">
        <x:v>B-047</x:v>
      </x:c>
      <x:c r="C48" t="str">
        <x:v>Cedarwood It Services 047</x:v>
      </x:c>
      <x:c r="D48" t="str">
        <x:v>Remy Reed</x:v>
      </x:c>
      <x:c r="E48" t="str">
        <x:v>account047@portfolio.example</x:v>
      </x:c>
      <x:c r="F48" t="str">
        <x:v>TX</x:v>
      </x:c>
      <x:c r="G48" t="str">
        <x:v>2026-10-21</x:v>
      </x:c>
      <x:c r="H48" t="str">
        <x:v>Active</x:v>
      </x:c>
    </x:row>
    <x:row r="49">
      <x:c r="A49" t="str">
        <x:v>K-0048</x:v>
      </x:c>
      <x:c r="B49" t="str">
        <x:v>B-048</x:v>
      </x:c>
      <x:c r="C49" t="str">
        <x:v>Brookline It Services 048</x:v>
      </x:c>
      <x:c r="D49" t="str">
        <x:v>Morgan Patel</x:v>
      </x:c>
      <x:c r="E49" t="str">
        <x:v>account048@portfolio.example</x:v>
      </x:c>
      <x:c r="F49" t="str">
        <x:v>MD</x:v>
      </x:c>
      <x:c r="G49" t="str">
        <x:v>2026-10-22</x:v>
      </x:c>
      <x:c r="H49" t="str">
        <x:v>Active</x:v>
      </x:c>
    </x:row>
    <x:row r="50">
      <x:c r="A50" t="str">
        <x:v>K-0049</x:v>
      </x:c>
      <x:c r="B50" t="str">
        <x:v>B-049</x:v>
      </x:c>
      <x:c r="C50" t="str">
        <x:v>Sable It Services 049</x:v>
      </x:c>
      <x:c r="D50" t="str">
        <x:v>Quinn Ford</x:v>
      </x:c>
      <x:c r="E50" t="str">
        <x:v>account049@portfolio.example</x:v>
      </x:c>
      <x:c r="F50" t="str">
        <x:v>NC</x:v>
      </x:c>
      <x:c r="G50" t="str">
        <x:v>2026-10-23</x:v>
      </x:c>
      <x:c r="H50" t="str">
        <x:v>Active</x:v>
      </x:c>
    </x:row>
    <x:row r="51">
      <x:c r="A51" t="str">
        <x:v>K-0050</x:v>
      </x:c>
      <x:c r="B51" t="str">
        <x:v>B-050</x:v>
      </x:c>
      <x:c r="C51" t="str">
        <x:v>Everview It Services 050</x:v>
      </x:c>
      <x:c r="D51" t="str">
        <x:v>Eli Morgan</x:v>
      </x:c>
      <x:c r="E51" t="str">
        <x:v>account050@portfolio.example</x:v>
      </x:c>
      <x:c r="F51" t="str">
        <x:v>SC</x:v>
      </x:c>
      <x:c r="G51" t="str">
        <x:v>2026-10-24</x:v>
      </x:c>
      <x:c r="H51" t="str">
        <x:v>Active</x:v>
      </x:c>
    </x:row>
    <x:row r="52">
      <x:c r="A52" t="str">
        <x:v>K-0051</x:v>
      </x:c>
      <x:c r="B52" t="str">
        <x:v>B-051</x:v>
      </x:c>
      <x:c r="C52" t="str">
        <x:v>Frostline It Services 051</x:v>
      </x:c>
      <x:c r="D52" t="str">
        <x:v>Ari Lee</x:v>
      </x:c>
      <x:c r="E52" t="str">
        <x:v>account051@portfolio.example</x:v>
      </x:c>
      <x:c r="F52" t="str">
        <x:v>VA</x:v>
      </x:c>
      <x:c r="G52" t="str">
        <x:v>2026-10-25</x:v>
      </x:c>
      <x:c r="H52" t="str">
        <x:v>Active</x:v>
      </x:c>
    </x:row>
    <x:row r="53">
      <x:c r="A53" t="str">
        <x:v>K-0052</x:v>
      </x:c>
      <x:c r="B53" t="str">
        <x:v>B-052</x:v>
      </x:c>
      <x:c r="C53" t="str">
        <x:v>Summit It Services 052</x:v>
      </x:c>
      <x:c r="D53" t="str">
        <x:v>Dana Parker</x:v>
      </x:c>
      <x:c r="E53" t="str">
        <x:v>account052@portfolio.example</x:v>
      </x:c>
      <x:c r="F53" t="str">
        <x:v>GA</x:v>
      </x:c>
      <x:c r="G53" t="str">
        <x:v>2026-10-26</x:v>
      </x:c>
      <x:c r="H53" t="str">
        <x:v>Active</x:v>
      </x:c>
    </x:row>
    <x:row r="54">
      <x:c r="A54" t="str">
        <x:v>K-0053</x:v>
      </x:c>
      <x:c r="B54" t="str">
        <x:v>B-053</x:v>
      </x:c>
      <x:c r="C54" t="str">
        <x:v>Pinefield It Services 053</x:v>
      </x:c>
      <x:c r="D54" t="str">
        <x:v>Mica West</x:v>
      </x:c>
      <x:c r="E54" t="str">
        <x:v>account053@portfolio.example</x:v>
      </x:c>
      <x:c r="F54" t="str">
        <x:v>FL</x:v>
      </x:c>
      <x:c r="G54" t="str">
        <x:v>2026-10-01</x:v>
      </x:c>
      <x:c r="H54" t="str">
        <x:v>Active</x:v>
      </x:c>
    </x:row>
    <x:row r="55">
      <x:c r="A55" t="str">
        <x:v>K-0054</x:v>
      </x:c>
      <x:c r="B55" t="str">
        <x:v>B-054</x:v>
      </x:c>
      <x:c r="C55" t="str">
        <x:v>Mariner It Services 054</x:v>
      </x:c>
      <x:c r="D55" t="str">
        <x:v>Noel Reed</x:v>
      </x:c>
      <x:c r="E55" t="str">
        <x:v>account054@portfolio.example</x:v>
      </x:c>
      <x:c r="F55" t="str">
        <x:v>TN</x:v>
      </x:c>
      <x:c r="G55" t="str">
        <x:v>2026-10-02</x:v>
      </x:c>
      <x:c r="H55" t="str">
        <x:v>Active</x:v>
      </x:c>
    </x:row>
    <x:row r="56">
      <x:c r="A56" t="str">
        <x:v>K-0055</x:v>
      </x:c>
      <x:c r="B56" t="str">
        <x:v>B-055</x:v>
      </x:c>
      <x:c r="C56" t="str">
        <x:v>White Oak It Services 055</x:v>
      </x:c>
      <x:c r="D56" t="str">
        <x:v>Jules Patel</x:v>
      </x:c>
      <x:c r="E56" t="str">
        <x:v>account055@portfolio.example</x:v>
      </x:c>
      <x:c r="F56" t="str">
        <x:v>TX</x:v>
      </x:c>
      <x:c r="G56" t="str">
        <x:v>2026-10-03</x:v>
      </x:c>
      <x:c r="H56" t="str">
        <x:v>Active</x:v>
      </x:c>
    </x:row>
    <x:row r="57">
      <x:c r="A57" t="str">
        <x:v>K-0056</x:v>
      </x:c>
      <x:c r="B57" t="str">
        <x:v>B-056</x:v>
      </x:c>
      <x:c r="C57" t="str">
        <x:v>Silvercrest It Services 056</x:v>
      </x:c>
      <x:c r="D57" t="str">
        <x:v>Taylor Ford</x:v>
      </x:c>
      <x:c r="E57" t="str">
        <x:v>account056@portfolio.example</x:v>
      </x:c>
      <x:c r="F57" t="str">
        <x:v>MD</x:v>
      </x:c>
      <x:c r="G57" t="str">
        <x:v>2026-10-04</x:v>
      </x:c>
      <x:c r="H57" t="str">
        <x:v>Active</x:v>
      </x:c>
    </x:row>
    <x:row r="58">
      <x:c r="A58" t="str">
        <x:v>K-0057</x:v>
      </x:c>
      <x:c r="B58" t="str">
        <x:v>B-057</x:v>
      </x:c>
      <x:c r="C58" t="str">
        <x:v>Ironwood It Services 057</x:v>
      </x:c>
      <x:c r="D58" t="str">
        <x:v>Remy Morgan</x:v>
      </x:c>
      <x:c r="E58" t="str">
        <x:v>account057@portfolio.example</x:v>
      </x:c>
      <x:c r="F58" t="str">
        <x:v>NC</x:v>
      </x:c>
      <x:c r="G58" t="str">
        <x:v>2026-10-05</x:v>
      </x:c>
      <x:c r="H58" t="str">
        <x:v>Active</x:v>
      </x:c>
    </x:row>
    <x:row r="59">
      <x:c r="A59" t="str">
        <x:v>K-0058</x:v>
      </x:c>
      <x:c r="B59" t="str">
        <x:v>B-058</x:v>
      </x:c>
      <x:c r="C59" t="str">
        <x:v>Clearwater It Services 058</x:v>
      </x:c>
      <x:c r="D59" t="str">
        <x:v>Morgan Lee</x:v>
      </x:c>
      <x:c r="E59" t="str">
        <x:v>account058@portfolio.example</x:v>
      </x:c>
      <x:c r="F59" t="str">
        <x:v>SC</x:v>
      </x:c>
      <x:c r="G59" t="str">
        <x:v>2026-10-06</x:v>
      </x:c>
      <x:c r="H59" t="str">
        <x:v>Active</x:v>
      </x:c>
    </x:row>
    <x:row r="60">
      <x:c r="A60" t="str">
        <x:v>K-0059</x:v>
      </x:c>
      <x:c r="B60" t="str">
        <x:v>B-059</x:v>
      </x:c>
      <x:c r="C60" t="str">
        <x:v>Stonebridge It Services 059</x:v>
      </x:c>
      <x:c r="D60" t="str">
        <x:v>Quinn Parker</x:v>
      </x:c>
      <x:c r="E60" t="str">
        <x:v>account059@portfolio.example</x:v>
      </x:c>
      <x:c r="F60" t="str">
        <x:v>VA</x:v>
      </x:c>
      <x:c r="G60" t="str">
        <x:v>2026-10-07</x:v>
      </x:c>
      <x:c r="H60" t="str">
        <x:v>Active</x:v>
      </x:c>
    </x:row>
    <x:row r="61">
      <x:c r="A61" t="str">
        <x:v>K-0060</x:v>
      </x:c>
      <x:c r="B61" t="str">
        <x:v>B-060</x:v>
      </x:c>
      <x:c r="C61" t="str">
        <x:v>Brighton It Services 060</x:v>
      </x:c>
      <x:c r="D61" t="str">
        <x:v>Eli West</x:v>
      </x:c>
      <x:c r="E61" t="str">
        <x:v>account060@portfolio.example</x:v>
      </x:c>
      <x:c r="F61" t="str">
        <x:v>GA</x:v>
      </x:c>
      <x:c r="G61" t="str">
        <x:v>2026-10-08</x:v>
      </x:c>
      <x:c r="H61" t="str">
        <x:v>Active</x:v>
      </x:c>
    </x:row>
    <x:row r="62">
      <x:c r="A62" t="str">
        <x:v>K-0061</x:v>
      </x:c>
      <x:c r="B62" t="str">
        <x:v>B-061</x:v>
      </x:c>
      <x:c r="C62" t="str">
        <x:v>Northfield Supply Group 061</x:v>
      </x:c>
      <x:c r="D62" t="str">
        <x:v>Ari Reed</x:v>
      </x:c>
      <x:c r="E62" t="str">
        <x:v>account061@portfolio.example</x:v>
      </x:c>
      <x:c r="F62" t="str">
        <x:v>FL</x:v>
      </x:c>
      <x:c r="G62" t="str">
        <x:v>2026-10-09</x:v>
      </x:c>
      <x:c r="H62" t="str">
        <x:v>Active</x:v>
      </x:c>
    </x:row>
    <x:row r="63">
      <x:c r="A63" t="str">
        <x:v>K-0062</x:v>
      </x:c>
      <x:c r="B63" t="str">
        <x:v>B-062</x:v>
      </x:c>
      <x:c r="C63" t="str">
        <x:v>Cedarwood Supply Group 062</x:v>
      </x:c>
      <x:c r="D63" t="str">
        <x:v>Dana Patel</x:v>
      </x:c>
      <x:c r="E63" t="str">
        <x:v>account062@portfolio.example</x:v>
      </x:c>
      <x:c r="F63" t="str">
        <x:v>TN</x:v>
      </x:c>
      <x:c r="G63" t="str">
        <x:v>2026-10-10</x:v>
      </x:c>
      <x:c r="H63" t="str">
        <x:v>Active</x:v>
      </x:c>
    </x:row>
    <x:row r="64">
      <x:c r="A64" t="str">
        <x:v>K-0063</x:v>
      </x:c>
      <x:c r="B64" t="str">
        <x:v>B-063</x:v>
      </x:c>
      <x:c r="C64" t="str">
        <x:v>Brookline Supply Group 063</x:v>
      </x:c>
      <x:c r="D64" t="str">
        <x:v>Mica Ford</x:v>
      </x:c>
      <x:c r="E64" t="str">
        <x:v>account063@portfolio.example</x:v>
      </x:c>
      <x:c r="F64" t="str">
        <x:v>TX</x:v>
      </x:c>
      <x:c r="G64" t="str">
        <x:v>2026-10-11</x:v>
      </x:c>
      <x:c r="H64" t="str">
        <x:v>Active</x:v>
      </x:c>
    </x:row>
    <x:row r="65">
      <x:c r="A65" t="str">
        <x:v>K-0064</x:v>
      </x:c>
      <x:c r="B65" t="str">
        <x:v>B-064</x:v>
      </x:c>
      <x:c r="C65" t="str">
        <x:v>Sable Supply Group 064</x:v>
      </x:c>
      <x:c r="D65" t="str">
        <x:v>Noel Morgan</x:v>
      </x:c>
      <x:c r="E65" t="str">
        <x:v>account064@portfolio.example</x:v>
      </x:c>
      <x:c r="F65" t="str">
        <x:v>MD</x:v>
      </x:c>
      <x:c r="G65" t="str">
        <x:v>2026-10-12</x:v>
      </x:c>
      <x:c r="H65" t="str">
        <x:v>Active</x:v>
      </x:c>
    </x:row>
    <x:row r="66">
      <x:c r="A66" t="str">
        <x:v>K-0065</x:v>
      </x:c>
      <x:c r="B66" t="str">
        <x:v>B-065</x:v>
      </x:c>
      <x:c r="C66" t="str">
        <x:v>Everview Supply Group 065</x:v>
      </x:c>
      <x:c r="D66" t="str">
        <x:v>Jules Lee</x:v>
      </x:c>
      <x:c r="E66" t="str">
        <x:v>account065@portfolio.example</x:v>
      </x:c>
      <x:c r="F66" t="str">
        <x:v>NC</x:v>
      </x:c>
      <x:c r="G66" t="str">
        <x:v>2026-10-13</x:v>
      </x:c>
      <x:c r="H66" t="str">
        <x:v>Active</x:v>
      </x:c>
    </x:row>
    <x:row r="67">
      <x:c r="A67" t="str">
        <x:v>K-0066</x:v>
      </x:c>
      <x:c r="B67" t="str">
        <x:v>B-066</x:v>
      </x:c>
      <x:c r="C67" t="str">
        <x:v>Frostline Supply Group 066</x:v>
      </x:c>
      <x:c r="D67" t="str">
        <x:v>Taylor Parker</x:v>
      </x:c>
      <x:c r="E67" t="str">
        <x:v>account066@portfolio.example</x:v>
      </x:c>
      <x:c r="F67" t="str">
        <x:v>SC</x:v>
      </x:c>
      <x:c r="G67" t="str">
        <x:v>2026-10-14</x:v>
      </x:c>
      <x:c r="H67" t="str">
        <x:v>Active</x:v>
      </x:c>
    </x:row>
    <x:row r="68">
      <x:c r="A68" t="str">
        <x:v>K-0067</x:v>
      </x:c>
      <x:c r="B68" t="str">
        <x:v>B-067</x:v>
      </x:c>
      <x:c r="C68" t="str">
        <x:v>Summit Supply Group 067</x:v>
      </x:c>
      <x:c r="D68" t="str">
        <x:v>Remy West</x:v>
      </x:c>
      <x:c r="E68" t="str">
        <x:v>account067@portfolio.example</x:v>
      </x:c>
      <x:c r="F68" t="str">
        <x:v>VA</x:v>
      </x:c>
      <x:c r="G68" t="str">
        <x:v>2026-10-15</x:v>
      </x:c>
      <x:c r="H68" t="str">
        <x:v>Active</x:v>
      </x:c>
    </x:row>
    <x:row r="69">
      <x:c r="A69" t="str">
        <x:v>K-0068</x:v>
      </x:c>
      <x:c r="B69" t="str">
        <x:v>B-068</x:v>
      </x:c>
      <x:c r="C69" t="str">
        <x:v>Pinefield Supply Group 068</x:v>
      </x:c>
      <x:c r="D69" t="str">
        <x:v>Morgan Reed</x:v>
      </x:c>
      <x:c r="E69" t="str">
        <x:v>account068@portfolio.example</x:v>
      </x:c>
      <x:c r="F69" t="str">
        <x:v>GA</x:v>
      </x:c>
      <x:c r="G69" t="str">
        <x:v>2026-10-16</x:v>
      </x:c>
      <x:c r="H69" t="str">
        <x:v>Active</x:v>
      </x:c>
    </x:row>
    <x:row r="70">
      <x:c r="A70" t="str">
        <x:v>K-0069</x:v>
      </x:c>
      <x:c r="B70" t="str">
        <x:v>B-069</x:v>
      </x:c>
      <x:c r="C70" t="str">
        <x:v>Mariner Supply Group 069</x:v>
      </x:c>
      <x:c r="D70" t="str">
        <x:v>Quinn Patel</x:v>
      </x:c>
      <x:c r="E70" t="str">
        <x:v>account069@portfolio.example</x:v>
      </x:c>
      <x:c r="F70" t="str">
        <x:v>FL</x:v>
      </x:c>
      <x:c r="G70" t="str">
        <x:v>2026-10-17</x:v>
      </x:c>
      <x:c r="H70" t="str">
        <x:v>Active</x:v>
      </x:c>
    </x:row>
    <x:row r="71">
      <x:c r="A71" t="str">
        <x:v>K-0070</x:v>
      </x:c>
      <x:c r="B71" t="str">
        <x:v>B-070</x:v>
      </x:c>
      <x:c r="C71" t="str">
        <x:v>White Oak Supply Group 070</x:v>
      </x:c>
      <x:c r="D71" t="str">
        <x:v>Eli Ford</x:v>
      </x:c>
      <x:c r="E71" t="str">
        <x:v>account070@portfolio.example</x:v>
      </x:c>
      <x:c r="F71" t="str">
        <x:v>TN</x:v>
      </x:c>
      <x:c r="G71" t="str">
        <x:v>2026-10-18</x:v>
      </x:c>
      <x:c r="H71" t="str">
        <x:v>Active</x:v>
      </x:c>
    </x:row>
    <x:row r="72">
      <x:c r="A72" t="str">
        <x:v>K-0071</x:v>
      </x:c>
      <x:c r="B72" t="str">
        <x:v>B-071</x:v>
      </x:c>
      <x:c r="C72" t="str">
        <x:v>Silvercrest Supply Group 071</x:v>
      </x:c>
      <x:c r="D72" t="str">
        <x:v>Ari Morgan</x:v>
      </x:c>
      <x:c r="E72" t="str">
        <x:v>account071@portfolio.example</x:v>
      </x:c>
      <x:c r="F72" t="str">
        <x:v>TX</x:v>
      </x:c>
      <x:c r="G72" t="str">
        <x:v>2026-10-19</x:v>
      </x:c>
      <x:c r="H72" t="str">
        <x:v>Active</x:v>
      </x:c>
    </x:row>
    <x:row r="73">
      <x:c r="A73" t="str">
        <x:v>K-0072</x:v>
      </x:c>
      <x:c r="B73" t="str">
        <x:v>B-072</x:v>
      </x:c>
      <x:c r="C73" t="str">
        <x:v>Ironwood Supply Group 072</x:v>
      </x:c>
      <x:c r="D73" t="str">
        <x:v>Dana Lee</x:v>
      </x:c>
      <x:c r="E73" t="str">
        <x:v>account072@portfolio.example</x:v>
      </x:c>
      <x:c r="F73" t="str">
        <x:v>MD</x:v>
      </x:c>
      <x:c r="G73" t="str">
        <x:v>2026-10-20</x:v>
      </x:c>
      <x:c r="H73" t="str">
        <x:v>Active</x:v>
      </x:c>
    </x:row>
    <x:row r="74">
      <x:c r="A74" t="str">
        <x:v>K-0073</x:v>
      </x:c>
      <x:c r="B74" t="str">
        <x:v>B-073</x:v>
      </x:c>
      <x:c r="C74" t="str">
        <x:v>Clearwater Supply Group 073</x:v>
      </x:c>
      <x:c r="D74" t="str">
        <x:v>Mica Parker</x:v>
      </x:c>
      <x:c r="E74" t="str">
        <x:v>account073@portfolio.example</x:v>
      </x:c>
      <x:c r="F74" t="str">
        <x:v>NC</x:v>
      </x:c>
      <x:c r="G74" t="str">
        <x:v>2026-10-21</x:v>
      </x:c>
      <x:c r="H74" t="str">
        <x:v>Active</x:v>
      </x:c>
    </x:row>
    <x:row r="75">
      <x:c r="A75" t="str">
        <x:v>K-0074</x:v>
      </x:c>
      <x:c r="B75" t="str">
        <x:v>B-074</x:v>
      </x:c>
      <x:c r="C75" t="str">
        <x:v>Stonebridge Supply Group 074</x:v>
      </x:c>
      <x:c r="D75" t="str">
        <x:v>Noel West</x:v>
      </x:c>
      <x:c r="E75" t="str">
        <x:v>account074@portfolio.example</x:v>
      </x:c>
      <x:c r="F75" t="str">
        <x:v>SC</x:v>
      </x:c>
      <x:c r="G75" t="str">
        <x:v>2026-10-22</x:v>
      </x:c>
      <x:c r="H75" t="str">
        <x:v>Active</x:v>
      </x:c>
    </x:row>
    <x:row r="76">
      <x:c r="A76" t="str">
        <x:v>K-0075</x:v>
      </x:c>
      <x:c r="B76" t="str">
        <x:v>B-075</x:v>
      </x:c>
      <x:c r="C76" t="str">
        <x:v>Brighton Supply Group 075</x:v>
      </x:c>
      <x:c r="D76" t="str">
        <x:v>Jules Reed</x:v>
      </x:c>
      <x:c r="E76" t="str">
        <x:v>account075@portfolio.example</x:v>
      </x:c>
      <x:c r="F76" t="str">
        <x:v>VA</x:v>
      </x:c>
      <x:c r="G76" t="str">
        <x:v>2026-10-23</x:v>
      </x:c>
      <x:c r="H76" t="str">
        <x:v>Active</x:v>
      </x:c>
    </x:row>
    <x:row r="77">
      <x:c r="A77" t="str">
        <x:v>K-0076</x:v>
      </x:c>
      <x:c r="B77" t="str">
        <x:v>B-076</x:v>
      </x:c>
      <x:c r="C77" t="str">
        <x:v>Northfield Analytics 076</x:v>
      </x:c>
      <x:c r="D77" t="str">
        <x:v>Taylor Patel</x:v>
      </x:c>
      <x:c r="E77" t="str">
        <x:v>account076@portfolio.example</x:v>
      </x:c>
      <x:c r="F77" t="str">
        <x:v>GA</x:v>
      </x:c>
      <x:c r="G77" t="str">
        <x:v>2026-10-24</x:v>
      </x:c>
      <x:c r="H77" t="str">
        <x:v>Active</x:v>
      </x:c>
    </x:row>
    <x:row r="78">
      <x:c r="A78" t="str">
        <x:v>K-0077</x:v>
      </x:c>
      <x:c r="B78" t="str">
        <x:v>B-077</x:v>
      </x:c>
      <x:c r="C78" t="str">
        <x:v>Cedarwood Analytics 077</x:v>
      </x:c>
      <x:c r="D78" t="str">
        <x:v>Remy Ford</x:v>
      </x:c>
      <x:c r="E78" t="str">
        <x:v>account077@portfolio.example</x:v>
      </x:c>
      <x:c r="F78" t="str">
        <x:v>FL</x:v>
      </x:c>
      <x:c r="G78" t="str">
        <x:v>2026-10-25</x:v>
      </x:c>
      <x:c r="H78" t="str">
        <x:v>Active</x:v>
      </x:c>
    </x:row>
    <x:row r="79">
      <x:c r="A79" t="str">
        <x:v>K-0078</x:v>
      </x:c>
      <x:c r="B79" t="str">
        <x:v>B-078</x:v>
      </x:c>
      <x:c r="C79" t="str">
        <x:v>Brookline Analytics 078</x:v>
      </x:c>
      <x:c r="D79" t="str">
        <x:v>Morgan Morgan</x:v>
      </x:c>
      <x:c r="E79" t="str">
        <x:v>account078@portfolio.example</x:v>
      </x:c>
      <x:c r="F79" t="str">
        <x:v>TN</x:v>
      </x:c>
      <x:c r="G79" t="str">
        <x:v>2026-10-26</x:v>
      </x:c>
      <x:c r="H79" t="str">
        <x:v>Active</x:v>
      </x:c>
    </x:row>
    <x:row r="80">
      <x:c r="A80" t="str">
        <x:v>K-0079</x:v>
      </x:c>
      <x:c r="B80" t="str">
        <x:v>B-079</x:v>
      </x:c>
      <x:c r="C80" t="str">
        <x:v>Sable Analytics 079</x:v>
      </x:c>
      <x:c r="D80" t="str">
        <x:v>Quinn Lee</x:v>
      </x:c>
      <x:c r="E80" t="str">
        <x:v>account079@portfolio.example</x:v>
      </x:c>
      <x:c r="F80" t="str">
        <x:v>TX</x:v>
      </x:c>
      <x:c r="G80" t="str">
        <x:v>2026-10-01</x:v>
      </x:c>
      <x:c r="H80" t="str">
        <x:v>Active</x:v>
      </x:c>
    </x:row>
    <x:row r="81">
      <x:c r="A81" t="str">
        <x:v>K-0080</x:v>
      </x:c>
      <x:c r="B81" t="str">
        <x:v>B-080</x:v>
      </x:c>
      <x:c r="C81" t="str">
        <x:v>Everview Analytics 080</x:v>
      </x:c>
      <x:c r="D81" t="str">
        <x:v>Eli Parker</x:v>
      </x:c>
      <x:c r="E81" t="str">
        <x:v>account080@portfolio.example</x:v>
      </x:c>
      <x:c r="F81" t="str">
        <x:v>MD</x:v>
      </x:c>
      <x:c r="G81" t="str">
        <x:v>2026-10-02</x:v>
      </x:c>
      <x:c r="H81" t="str">
        <x:v>Active</x:v>
      </x:c>
    </x:row>
    <x:row r="82">
      <x:c r="A82" t="str">
        <x:v>K-0081</x:v>
      </x:c>
      <x:c r="B82" t="str">
        <x:v>B-081</x:v>
      </x:c>
      <x:c r="C82" t="str">
        <x:v>Frostline Analytics 081</x:v>
      </x:c>
      <x:c r="D82" t="str">
        <x:v>Ari West</x:v>
      </x:c>
      <x:c r="E82" t="str">
        <x:v>account081@portfolio.example</x:v>
      </x:c>
      <x:c r="F82" t="str">
        <x:v>NC</x:v>
      </x:c>
      <x:c r="G82" t="str">
        <x:v>2026-10-03</x:v>
      </x:c>
      <x:c r="H82" t="str">
        <x:v>Active</x:v>
      </x:c>
    </x:row>
    <x:row r="83">
      <x:c r="A83" t="str">
        <x:v>K-0082</x:v>
      </x:c>
      <x:c r="B83" t="str">
        <x:v>B-082</x:v>
      </x:c>
      <x:c r="C83" t="str">
        <x:v>Summit Analytics 082</x:v>
      </x:c>
      <x:c r="D83" t="str">
        <x:v>Dana Reed</x:v>
      </x:c>
      <x:c r="E83" t="str">
        <x:v>account082@portfolio.example</x:v>
      </x:c>
      <x:c r="F83" t="str">
        <x:v>SC</x:v>
      </x:c>
      <x:c r="G83" t="str">
        <x:v>2026-10-04</x:v>
      </x:c>
      <x:c r="H83" t="str">
        <x:v>Active</x:v>
      </x:c>
    </x:row>
    <x:row r="84">
      <x:c r="A84" t="str">
        <x:v>K-0083</x:v>
      </x:c>
      <x:c r="B84" t="str">
        <x:v>B-083</x:v>
      </x:c>
      <x:c r="C84" t="str">
        <x:v>Pinefield Analytics 083</x:v>
      </x:c>
      <x:c r="D84" t="str">
        <x:v>Mica Patel</x:v>
      </x:c>
      <x:c r="E84" t="str">
        <x:v>account083@portfolio.example</x:v>
      </x:c>
      <x:c r="F84" t="str">
        <x:v>VA</x:v>
      </x:c>
      <x:c r="G84" t="str">
        <x:v>2026-10-05</x:v>
      </x:c>
      <x:c r="H84" t="str">
        <x:v>Active</x:v>
      </x:c>
    </x:row>
    <x:row r="85">
      <x:c r="A85" t="str">
        <x:v>K-0084</x:v>
      </x:c>
      <x:c r="B85" t="str">
        <x:v>B-084</x:v>
      </x:c>
      <x:c r="C85" t="str">
        <x:v>Mariner Analytics 084</x:v>
      </x:c>
      <x:c r="D85" t="str">
        <x:v>Noel Ford</x:v>
      </x:c>
      <x:c r="E85" t="str">
        <x:v>account084@portfolio.example</x:v>
      </x:c>
      <x:c r="F85" t="str">
        <x:v>GA</x:v>
      </x:c>
      <x:c r="G85" t="str">
        <x:v>2026-10-06</x:v>
      </x:c>
      <x:c r="H85" t="str">
        <x:v>Active</x:v>
      </x:c>
    </x:row>
    <x:row r="86">
      <x:c r="A86" t="str">
        <x:v>K-0085</x:v>
      </x:c>
      <x:c r="B86" t="str">
        <x:v>B-085</x:v>
      </x:c>
      <x:c r="C86" t="str">
        <x:v>White Oak Analytics 085</x:v>
      </x:c>
      <x:c r="D86" t="str">
        <x:v>Jules Morgan</x:v>
      </x:c>
      <x:c r="E86" t="str">
        <x:v>account085@portfolio.example</x:v>
      </x:c>
      <x:c r="F86" t="str">
        <x:v>FL</x:v>
      </x:c>
      <x:c r="G86" t="str">
        <x:v>2026-10-07</x:v>
      </x:c>
      <x:c r="H86" t="str">
        <x:v>Active</x:v>
      </x:c>
    </x:row>
    <x:row r="87">
      <x:c r="A87" t="str">
        <x:v>K-0086</x:v>
      </x:c>
      <x:c r="B87" t="str">
        <x:v>B-086</x:v>
      </x:c>
      <x:c r="C87" t="str">
        <x:v>Silvercrest Analytics 086</x:v>
      </x:c>
      <x:c r="D87" t="str">
        <x:v>Taylor Lee</x:v>
      </x:c>
      <x:c r="E87" t="str">
        <x:v>account086@portfolio.example</x:v>
      </x:c>
      <x:c r="F87" t="str">
        <x:v>TN</x:v>
      </x:c>
      <x:c r="G87" t="str">
        <x:v>2026-10-08</x:v>
      </x:c>
      <x:c r="H87" t="str">
        <x:v>Active</x:v>
      </x:c>
    </x:row>
    <x:row r="88">
      <x:c r="A88" t="str">
        <x:v>K-0087</x:v>
      </x:c>
      <x:c r="B88" t="str">
        <x:v>B-087</x:v>
      </x:c>
      <x:c r="C88" t="str">
        <x:v>Ironwood Analytics 087</x:v>
      </x:c>
      <x:c r="D88" t="str">
        <x:v>Remy Parker</x:v>
      </x:c>
      <x:c r="E88" t="str">
        <x:v>account087@portfolio.example</x:v>
      </x:c>
      <x:c r="F88" t="str">
        <x:v>TX</x:v>
      </x:c>
      <x:c r="G88" t="str">
        <x:v>2026-10-09</x:v>
      </x:c>
      <x:c r="H88" t="str">
        <x:v>Active</x:v>
      </x:c>
    </x:row>
    <x:row r="89">
      <x:c r="A89" t="str">
        <x:v>K-0088</x:v>
      </x:c>
      <x:c r="B89" t="str">
        <x:v>B-088</x:v>
      </x:c>
      <x:c r="C89" t="str">
        <x:v>Clearwater Analytics 088</x:v>
      </x:c>
      <x:c r="D89" t="str">
        <x:v>Morgan West</x:v>
      </x:c>
      <x:c r="E89" t="str">
        <x:v>account088@portfolio.example</x:v>
      </x:c>
      <x:c r="F89" t="str">
        <x:v>MD</x:v>
      </x:c>
      <x:c r="G89" t="str">
        <x:v>2026-10-10</x:v>
      </x:c>
      <x:c r="H89" t="str">
        <x:v>Active</x:v>
      </x:c>
    </x:row>
    <x:row r="90">
      <x:c r="A90" t="str">
        <x:v>K-0089</x:v>
      </x:c>
      <x:c r="B90" t="str">
        <x:v>B-089</x:v>
      </x:c>
      <x:c r="C90" t="str">
        <x:v>Stonebridge Analytics 089</x:v>
      </x:c>
      <x:c r="D90" t="str">
        <x:v>Quinn Reed</x:v>
      </x:c>
      <x:c r="E90" t="str">
        <x:v>account089@portfolio.example</x:v>
      </x:c>
      <x:c r="F90" t="str">
        <x:v>NC</x:v>
      </x:c>
      <x:c r="G90" t="str">
        <x:v>2026-10-11</x:v>
      </x:c>
      <x:c r="H90" t="str">
        <x:v>Active</x:v>
      </x:c>
    </x:row>
    <x:row r="91">
      <x:c r="A91" t="str">
        <x:v>K-0090</x:v>
      </x:c>
      <x:c r="B91" t="str">
        <x:v>B-090</x:v>
      </x:c>
      <x:c r="C91" t="str">
        <x:v>Brighton Analytics 090</x:v>
      </x:c>
      <x:c r="D91" t="str">
        <x:v>Eli Patel</x:v>
      </x:c>
      <x:c r="E91" t="str">
        <x:v>account090@portfolio.example</x:v>
      </x:c>
      <x:c r="F91" t="str">
        <x:v>SC</x:v>
      </x:c>
      <x:c r="G91" t="str">
        <x:v>2026-10-12</x:v>
      </x:c>
      <x:c r="H91" t="str">
        <x:v>Active</x:v>
      </x:c>
    </x:row>
    <x:row r="92">
      <x:c r="A92" t="str">
        <x:v>K-0091</x:v>
      </x:c>
      <x:c r="B92" t="str">
        <x:v>B-091</x:v>
      </x:c>
      <x:c r="C92" t="str">
        <x:v>Northfield Creative Works 091</x:v>
      </x:c>
      <x:c r="D92" t="str">
        <x:v>Ari Ford</x:v>
      </x:c>
      <x:c r="E92" t="str">
        <x:v>account091@portfolio.example</x:v>
      </x:c>
      <x:c r="F92" t="str">
        <x:v>VA</x:v>
      </x:c>
      <x:c r="G92" t="str">
        <x:v>2026-10-13</x:v>
      </x:c>
      <x:c r="H92" t="str">
        <x:v>Active</x:v>
      </x:c>
    </x:row>
    <x:row r="93">
      <x:c r="A93" t="str">
        <x:v>K-0092</x:v>
      </x:c>
      <x:c r="B93" t="str">
        <x:v>B-092</x:v>
      </x:c>
      <x:c r="C93" t="str">
        <x:v>Cedarwood Creative Works 092</x:v>
      </x:c>
      <x:c r="D93" t="str">
        <x:v>Dana Morgan</x:v>
      </x:c>
      <x:c r="E93" t="str">
        <x:v>account092@portfolio.example</x:v>
      </x:c>
      <x:c r="F93" t="str">
        <x:v>GA</x:v>
      </x:c>
      <x:c r="G93" t="str">
        <x:v>2026-10-14</x:v>
      </x:c>
      <x:c r="H93" t="str">
        <x:v>Active</x:v>
      </x:c>
    </x:row>
    <x:row r="94">
      <x:c r="A94" t="str">
        <x:v>K-0093</x:v>
      </x:c>
      <x:c r="B94" t="str">
        <x:v>B-093</x:v>
      </x:c>
      <x:c r="C94" t="str">
        <x:v>Brookline Creative Works 093</x:v>
      </x:c>
      <x:c r="D94" t="str">
        <x:v>Mica Lee</x:v>
      </x:c>
      <x:c r="E94" t="str">
        <x:v>account093@portfolio.example</x:v>
      </x:c>
      <x:c r="F94" t="str">
        <x:v>FL</x:v>
      </x:c>
      <x:c r="G94" t="str">
        <x:v>2026-10-15</x:v>
      </x:c>
      <x:c r="H94" t="str">
        <x:v>Active</x:v>
      </x:c>
    </x:row>
    <x:row r="95">
      <x:c r="A95" t="str">
        <x:v>K-0094</x:v>
      </x:c>
      <x:c r="B95" t="str">
        <x:v>B-094</x:v>
      </x:c>
      <x:c r="C95" t="str">
        <x:v>Sable Creative Works 094</x:v>
      </x:c>
      <x:c r="D95" t="str">
        <x:v>Noel Parker</x:v>
      </x:c>
      <x:c r="E95" t="str">
        <x:v>account094@portfolio.example</x:v>
      </x:c>
      <x:c r="F95" t="str">
        <x:v>TN</x:v>
      </x:c>
      <x:c r="G95" t="str">
        <x:v>2026-10-16</x:v>
      </x:c>
      <x:c r="H95" t="str">
        <x:v>Active</x:v>
      </x:c>
    </x:row>
    <x:row r="96">
      <x:c r="A96" t="str">
        <x:v>K-0095</x:v>
      </x:c>
      <x:c r="B96" t="str">
        <x:v>B-095</x:v>
      </x:c>
      <x:c r="C96" t="str">
        <x:v>Everview Creative Works 095</x:v>
      </x:c>
      <x:c r="D96" t="str">
        <x:v>Jules West</x:v>
      </x:c>
      <x:c r="E96" t="str">
        <x:v>account095@portfolio.example</x:v>
      </x:c>
      <x:c r="F96" t="str">
        <x:v>TX</x:v>
      </x:c>
      <x:c r="G96" t="str">
        <x:v>2026-10-17</x:v>
      </x:c>
      <x:c r="H96" t="str">
        <x:v>Active</x:v>
      </x:c>
    </x:row>
    <x:row r="97">
      <x:c r="A97" t="str">
        <x:v>K-0096</x:v>
      </x:c>
      <x:c r="B97" t="str">
        <x:v>B-096</x:v>
      </x:c>
      <x:c r="C97" t="str">
        <x:v>Frostline Creative Works 096</x:v>
      </x:c>
      <x:c r="D97" t="str">
        <x:v>Taylor Reed</x:v>
      </x:c>
      <x:c r="E97" t="str">
        <x:v>account096@portfolio.example</x:v>
      </x:c>
      <x:c r="F97" t="str">
        <x:v>MD</x:v>
      </x:c>
      <x:c r="G97" t="str">
        <x:v>2026-10-18</x:v>
      </x:c>
      <x:c r="H97" t="str">
        <x:v>Active</x:v>
      </x:c>
    </x:row>
    <x:row r="98">
      <x:c r="A98" t="str">
        <x:v>K-0097</x:v>
      </x:c>
      <x:c r="B98" t="str">
        <x:v>B-097</x:v>
      </x:c>
      <x:c r="C98" t="str">
        <x:v>Summit Creative Works 097</x:v>
      </x:c>
      <x:c r="D98" t="str">
        <x:v>Remy Patel</x:v>
      </x:c>
      <x:c r="E98" t="str">
        <x:v>account097@portfolio.example</x:v>
      </x:c>
      <x:c r="F98" t="str">
        <x:v>NC</x:v>
      </x:c>
      <x:c r="G98" t="str">
        <x:v>2026-10-19</x:v>
      </x:c>
      <x:c r="H98" t="str">
        <x:v>Active</x:v>
      </x:c>
    </x:row>
    <x:row r="99">
      <x:c r="A99" t="str">
        <x:v>K-0098</x:v>
      </x:c>
      <x:c r="B99" t="str">
        <x:v>B-098</x:v>
      </x:c>
      <x:c r="C99" t="str">
        <x:v>Pinefield Creative Works 098</x:v>
      </x:c>
      <x:c r="D99" t="str">
        <x:v>Morgan Ford</x:v>
      </x:c>
      <x:c r="E99" t="str">
        <x:v>account098@portfolio.example</x:v>
      </x:c>
      <x:c r="F99" t="str">
        <x:v>SC</x:v>
      </x:c>
      <x:c r="G99" t="str">
        <x:v>2026-10-20</x:v>
      </x:c>
      <x:c r="H99" t="str">
        <x:v>Active</x:v>
      </x:c>
    </x:row>
    <x:row r="100">
      <x:c r="A100" t="str">
        <x:v>K-0099</x:v>
      </x:c>
      <x:c r="B100" t="str">
        <x:v>B-099</x:v>
      </x:c>
      <x:c r="C100" t="str">
        <x:v>Mariner Creative Works 099</x:v>
      </x:c>
      <x:c r="D100" t="str">
        <x:v>Quinn Morgan</x:v>
      </x:c>
      <x:c r="E100" t="str">
        <x:v>account099@portfolio.example</x:v>
      </x:c>
      <x:c r="F100" t="str">
        <x:v>VA</x:v>
      </x:c>
      <x:c r="G100" t="str">
        <x:v>2026-10-21</x:v>
      </x:c>
      <x:c r="H100" t="str">
        <x:v>Active</x:v>
      </x:c>
    </x:row>
    <x:row r="101">
      <x:c r="A101" t="str">
        <x:v>K-0100</x:v>
      </x:c>
      <x:c r="B101" t="str">
        <x:v>B-100</x:v>
      </x:c>
      <x:c r="C101" t="str">
        <x:v>White Oak Creative Works 100</x:v>
      </x:c>
      <x:c r="D101" t="str">
        <x:v>Eli Lee</x:v>
      </x:c>
      <x:c r="E101" t="str">
        <x:v>account100@portfolio.example</x:v>
      </x:c>
      <x:c r="F101" t="str">
        <x:v>GA</x:v>
      </x:c>
      <x:c r="G101" t="str">
        <x:v>2026-10-22</x:v>
      </x:c>
      <x:c r="H101" t="str">
        <x:v>Active</x:v>
      </x:c>
    </x:row>
    <x:row r="102">
      <x:c r="A102" t="str">
        <x:v>K-0101</x:v>
      </x:c>
      <x:c r="B102" t="str">
        <x:v>B-101</x:v>
      </x:c>
      <x:c r="C102" t="str">
        <x:v>Silvercrest Creative Works 101</x:v>
      </x:c>
      <x:c r="D102" t="str">
        <x:v>Ari Parker</x:v>
      </x:c>
      <x:c r="E102" t="str">
        <x:v>account101@portfolio.example</x:v>
      </x:c>
      <x:c r="F102" t="str">
        <x:v>FL</x:v>
      </x:c>
      <x:c r="G102" t="str">
        <x:v>2026-10-23</x:v>
      </x:c>
      <x:c r="H102" t="str">
        <x:v>Active</x:v>
      </x:c>
    </x:row>
    <x:row r="103">
      <x:c r="A103" t="str">
        <x:v>K-0102</x:v>
      </x:c>
      <x:c r="B103" t="str">
        <x:v>B-102</x:v>
      </x:c>
      <x:c r="C103" t="str">
        <x:v>Ironwood Creative Works 102</x:v>
      </x:c>
      <x:c r="D103" t="str">
        <x:v>Dana West</x:v>
      </x:c>
      <x:c r="E103" t="str">
        <x:v>account102@portfolio.example</x:v>
      </x:c>
      <x:c r="F103" t="str">
        <x:v>TN</x:v>
      </x:c>
      <x:c r="G103" t="str">
        <x:v>2026-10-24</x:v>
      </x:c>
      <x:c r="H103" t="str">
        <x:v>Active</x:v>
      </x:c>
    </x:row>
    <x:row r="104">
      <x:c r="A104" t="str">
        <x:v>K-0103</x:v>
      </x:c>
      <x:c r="B104" t="str">
        <x:v>B-103</x:v>
      </x:c>
      <x:c r="C104" t="str">
        <x:v>Clearwater Creative Works 103</x:v>
      </x:c>
      <x:c r="D104" t="str">
        <x:v>Mica Reed</x:v>
      </x:c>
      <x:c r="E104" t="str">
        <x:v>account103@portfolio.example</x:v>
      </x:c>
      <x:c r="F104" t="str">
        <x:v>TX</x:v>
      </x:c>
      <x:c r="G104" t="str">
        <x:v>2026-10-25</x:v>
      </x:c>
      <x:c r="H104" t="str">
        <x:v>Active</x:v>
      </x:c>
    </x:row>
    <x:row r="105">
      <x:c r="A105" t="str">
        <x:v>K-0104</x:v>
      </x:c>
      <x:c r="B105" t="str">
        <x:v>B-104</x:v>
      </x:c>
      <x:c r="C105" t="str">
        <x:v>Stonebridge Creative Works 104</x:v>
      </x:c>
      <x:c r="D105" t="str">
        <x:v>Noel Patel</x:v>
      </x:c>
      <x:c r="E105" t="str">
        <x:v>account104@portfolio.example</x:v>
      </x:c>
      <x:c r="F105" t="str">
        <x:v>MD</x:v>
      </x:c>
      <x:c r="G105" t="str">
        <x:v>2026-10-26</x:v>
      </x:c>
      <x:c r="H105" t="str">
        <x:v>Active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38" hidden="0" customWidth="1"/>
    <x:col min="4" max="4" width="39" hidden="0" customWidth="1"/>
    <x:col min="5" max="5" width="20" hidden="0" customWidth="1"/>
    <x:col min="6" max="6" width="25" hidden="0" customWidth="1"/>
  </x:cols>
  <x:sheetData>
    <x:row r="1">
      <x:c r="A1" s="131" t="str">
        <x:v>Source ID</x:v>
      </x:c>
      <x:c r="B1" s="131" t="str">
        <x:v>Disposition</x:v>
      </x:c>
      <x:c r="C1" s="131" t="str">
        <x:v>Failure reason</x:v>
      </x:c>
      <x:c r="D1" s="131" t="str">
        <x:v>Next action</x:v>
      </x:c>
      <x:c r="E1" s="131" t="str">
        <x:v>Assigned owner</x:v>
      </x:c>
      <x:c r="F1" s="131" t="str">
        <x:v>Review status</x:v>
      </x:c>
    </x:row>
    <x:row r="2">
      <x:c r="A2" t="str">
        <x:v>B-105</x:v>
      </x:c>
      <x:c r="B2" t="str">
        <x:v>DUPLICATE</x:v>
      </x:c>
      <x:c r="C2" t="str">
        <x:v>Existing approved customer contact</x:v>
      </x:c>
      <x:c r="D2" t="str">
        <x:v>Suppress new master and verify match</x:v>
      </x:c>
      <x:c r="E2" t="str">
        <x:v>QA Lead</x:v>
      </x:c>
      <x:c r="F2" t="str">
        <x:v>Closed - linked</x:v>
      </x:c>
    </x:row>
    <x:row r="3">
      <x:c r="A3" t="str">
        <x:v>B-106</x:v>
      </x:c>
      <x:c r="B3" t="str">
        <x:v>DUPLICATE</x:v>
      </x:c>
      <x:c r="C3" t="str">
        <x:v>Existing approved customer contact</x:v>
      </x:c>
      <x:c r="D3" t="str">
        <x:v>Suppress new master and verify match</x:v>
      </x:c>
      <x:c r="E3" t="str">
        <x:v>QA Lead</x:v>
      </x:c>
      <x:c r="F3" t="str">
        <x:v>Closed - linked</x:v>
      </x:c>
    </x:row>
    <x:row r="4">
      <x:c r="A4" t="str">
        <x:v>B-107</x:v>
      </x:c>
      <x:c r="B4" t="str">
        <x:v>DUPLICATE</x:v>
      </x:c>
      <x:c r="C4" t="str">
        <x:v>Existing approved customer contact</x:v>
      </x:c>
      <x:c r="D4" t="str">
        <x:v>Suppress new master and verify match</x:v>
      </x:c>
      <x:c r="E4" t="str">
        <x:v>QA Lead</x:v>
      </x:c>
      <x:c r="F4" t="str">
        <x:v>Closed - linked</x:v>
      </x:c>
    </x:row>
    <x:row r="5">
      <x:c r="A5" t="str">
        <x:v>B-108</x:v>
      </x:c>
      <x:c r="B5" t="str">
        <x:v>DUPLICATE</x:v>
      </x:c>
      <x:c r="C5" t="str">
        <x:v>Existing approved customer contact</x:v>
      </x:c>
      <x:c r="D5" t="str">
        <x:v>Suppress new master and verify match</x:v>
      </x:c>
      <x:c r="E5" t="str">
        <x:v>QA Lead</x:v>
      </x:c>
      <x:c r="F5" t="str">
        <x:v>Closed - linked</x:v>
      </x:c>
    </x:row>
    <x:row r="6">
      <x:c r="A6" t="str">
        <x:v>B-109</x:v>
      </x:c>
      <x:c r="B6" t="str">
        <x:v>DUPLICATE</x:v>
      </x:c>
      <x:c r="C6" t="str">
        <x:v>Existing approved customer contact</x:v>
      </x:c>
      <x:c r="D6" t="str">
        <x:v>Suppress new master and verify match</x:v>
      </x:c>
      <x:c r="E6" t="str">
        <x:v>QA Lead</x:v>
      </x:c>
      <x:c r="F6" t="str">
        <x:v>Closed - linked</x:v>
      </x:c>
    </x:row>
    <x:row r="7">
      <x:c r="A7" t="str">
        <x:v>B-110</x:v>
      </x:c>
      <x:c r="B7" t="str">
        <x:v>DUPLICATE</x:v>
      </x:c>
      <x:c r="C7" t="str">
        <x:v>Existing approved customer contact</x:v>
      </x:c>
      <x:c r="D7" t="str">
        <x:v>Suppress new master and verify match</x:v>
      </x:c>
      <x:c r="E7" t="str">
        <x:v>QA Lead</x:v>
      </x:c>
      <x:c r="F7" t="str">
        <x:v>Closed - linked</x:v>
      </x:c>
    </x:row>
    <x:row r="8">
      <x:c r="A8" t="str">
        <x:v>B-111</x:v>
      </x:c>
      <x:c r="B8" t="str">
        <x:v>DUPLICATE</x:v>
      </x:c>
      <x:c r="C8" t="str">
        <x:v>Existing approved customer contact</x:v>
      </x:c>
      <x:c r="D8" t="str">
        <x:v>Suppress new master and verify match</x:v>
      </x:c>
      <x:c r="E8" t="str">
        <x:v>QA Lead</x:v>
      </x:c>
      <x:c r="F8" t="str">
        <x:v>Closed - linked</x:v>
      </x:c>
    </x:row>
    <x:row r="9">
      <x:c r="A9" t="str">
        <x:v>B-112</x:v>
      </x:c>
      <x:c r="B9" t="str">
        <x:v>DUPLICATE</x:v>
      </x:c>
      <x:c r="C9" t="str">
        <x:v>Existing approved customer contact</x:v>
      </x:c>
      <x:c r="D9" t="str">
        <x:v>Suppress new master and verify match</x:v>
      </x:c>
      <x:c r="E9" t="str">
        <x:v>QA Lead</x:v>
      </x:c>
      <x:c r="F9" t="str">
        <x:v>Closed - linked</x:v>
      </x:c>
    </x:row>
    <x:row r="10">
      <x:c r="A10" t="str">
        <x:v>B-113</x:v>
      </x:c>
      <x:c r="B10" t="str">
        <x:v>DUPLICATE</x:v>
      </x:c>
      <x:c r="C10" t="str">
        <x:v>Existing approved customer contact</x:v>
      </x:c>
      <x:c r="D10" t="str">
        <x:v>Suppress new master and verify match</x:v>
      </x:c>
      <x:c r="E10" t="str">
        <x:v>QA Lead</x:v>
      </x:c>
      <x:c r="F10" t="str">
        <x:v>Closed - linked</x:v>
      </x:c>
    </x:row>
    <x:row r="11">
      <x:c r="A11" t="str">
        <x:v>B-114</x:v>
      </x:c>
      <x:c r="B11" t="str">
        <x:v>DUPLICATE</x:v>
      </x:c>
      <x:c r="C11" t="str">
        <x:v>Existing approved customer contact</x:v>
      </x:c>
      <x:c r="D11" t="str">
        <x:v>Suppress new master and verify match</x:v>
      </x:c>
      <x:c r="E11" t="str">
        <x:v>QA Lead</x:v>
      </x:c>
      <x:c r="F11" t="str">
        <x:v>Closed - linked</x:v>
      </x:c>
    </x:row>
    <x:row r="12">
      <x:c r="A12" t="str">
        <x:v>B-115</x:v>
      </x:c>
      <x:c r="B12" t="str">
        <x:v>HOLD</x:v>
      </x:c>
      <x:c r="C12" t="str">
        <x:v>Missing or invalid contact email</x:v>
      </x:c>
      <x:c r="D12" t="str">
        <x:v>Request source correction</x:v>
      </x:c>
      <x:c r="E12" t="str">
        <x:v>Data Ops</x:v>
      </x:c>
      <x:c r="F12" t="str">
        <x:v>Unresolved</x:v>
      </x:c>
    </x:row>
    <x:row r="13">
      <x:c r="A13" t="str">
        <x:v>B-116</x:v>
      </x:c>
      <x:c r="B13" t="str">
        <x:v>HOLD</x:v>
      </x:c>
      <x:c r="C13" t="str">
        <x:v>Missing or invalid contact email</x:v>
      </x:c>
      <x:c r="D13" t="str">
        <x:v>Request source correction</x:v>
      </x:c>
      <x:c r="E13" t="str">
        <x:v>Data Ops</x:v>
      </x:c>
      <x:c r="F13" t="str">
        <x:v>Unresolved</x:v>
      </x:c>
    </x:row>
    <x:row r="14">
      <x:c r="A14" t="str">
        <x:v>B-117</x:v>
      </x:c>
      <x:c r="B14" t="str">
        <x:v>HOLD</x:v>
      </x:c>
      <x:c r="C14" t="str">
        <x:v>Missing or invalid contact email</x:v>
      </x:c>
      <x:c r="D14" t="str">
        <x:v>Request source correction</x:v>
      </x:c>
      <x:c r="E14" t="str">
        <x:v>Data Ops</x:v>
      </x:c>
      <x:c r="F14" t="str">
        <x:v>Unresolved</x:v>
      </x:c>
    </x:row>
    <x:row r="15">
      <x:c r="A15" t="str">
        <x:v>B-118</x:v>
      </x:c>
      <x:c r="B15" t="str">
        <x:v>HOLD</x:v>
      </x:c>
      <x:c r="C15" t="str">
        <x:v>Missing or invalid contact email</x:v>
      </x:c>
      <x:c r="D15" t="str">
        <x:v>Request source correction</x:v>
      </x:c>
      <x:c r="E15" t="str">
        <x:v>Data Ops</x:v>
      </x:c>
      <x:c r="F15" t="str">
        <x:v>Unresolved</x:v>
      </x:c>
    </x:row>
    <x:row r="16">
      <x:c r="A16" t="str">
        <x:v>B-119</x:v>
      </x:c>
      <x:c r="B16" t="str">
        <x:v>HOLD</x:v>
      </x:c>
      <x:c r="C16" t="str">
        <x:v>Missing or invalid contact email</x:v>
      </x:c>
      <x:c r="D16" t="str">
        <x:v>Request source correction</x:v>
      </x:c>
      <x:c r="E16" t="str">
        <x:v>Data Ops</x:v>
      </x:c>
      <x:c r="F16" t="str">
        <x:v>Unresolved</x:v>
      </x:c>
    </x:row>
    <x:row r="17">
      <x:c r="A17" t="str">
        <x:v>B-120</x:v>
      </x:c>
      <x:c r="B17" t="str">
        <x:v>HOLD</x:v>
      </x:c>
      <x:c r="C17" t="str">
        <x:v>Missing or invalid contact email</x:v>
      </x:c>
      <x:c r="D17" t="str">
        <x:v>Request source correction</x:v>
      </x:c>
      <x:c r="E17" t="str">
        <x:v>Data Ops</x:v>
      </x:c>
      <x:c r="F17" t="str">
        <x:v>Unresolved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37" hidden="0" customWidth="1"/>
    <x:col min="3" max="3" width="37" hidden="0" customWidth="1"/>
    <x:col min="4" max="4" width="18" hidden="0" customWidth="1"/>
    <x:col min="5" max="5" width="19" hidden="0" customWidth="1"/>
    <x:col min="6" max="6" width="25" hidden="0" customWidth="1"/>
  </x:cols>
  <x:sheetData>
    <x:row r="1" ht="24" customHeight="1">
      <x:c r="A1" s="131" t="str">
        <x:v>PRACTICAL DATA ENTRY ASSESSMENT  |  40 RECORDS</x:v>
      </x:c>
      <x:c r="B1" s="131"/>
      <x:c r="C1" s="131"/>
      <x:c r="D1" s="131"/>
      <x:c r="E1" s="131"/>
      <x:c r="F1" s="131"/>
    </x:row>
    <x:row r="2" ht="24" customHeight="1">
      <x:c r="A2" s="131"/>
      <x:c r="B2" s="131"/>
      <x:c r="C2" s="131"/>
      <x:c r="D2" s="131"/>
      <x:c r="E2" s="131"/>
      <x:c r="F2" s="131"/>
    </x:row>
    <x:row r="4" ht="29" customHeight="1">
      <x:c r="A4" s="127" t="str">
        <x:v>Source ID</x:v>
      </x:c>
      <x:c r="B4" s="127" t="str">
        <x:v>Source organization</x:v>
      </x:c>
      <x:c r="C4" s="127" t="str">
        <x:v>Type organization here</x:v>
      </x:c>
      <x:c r="D4" s="127" t="str">
        <x:v>Exact match?</x:v>
      </x:c>
      <x:c r="E4" s="127" t="str">
        <x:v>Source state</x:v>
      </x:c>
      <x:c r="F4" s="127" t="str">
        <x:v>Type state here</x:v>
      </x:c>
    </x:row>
    <x:row r="5">
      <x:c r="A5" t="str">
        <x:v>B-001</x:v>
      </x:c>
      <x:c r="B5" t="str">
        <x:v>Northfield Consulting 001</x:v>
      </x:c>
      <x:c r="D5" t="str">
        <x:f>IF(C5="","NOT STARTED",IF(EXACT(B5,C5),"MATCH","CHECK"))</x:f>
        <x:v>NOT STARTED</x:v>
      </x:c>
      <x:c r="E5" t="str">
        <x:v>NC</x:v>
      </x:c>
    </x:row>
    <x:row r="6">
      <x:c r="A6" t="str">
        <x:v>B-002</x:v>
      </x:c>
      <x:c r="B6" t="str">
        <x:v>Cedarwood Consulting 002</x:v>
      </x:c>
      <x:c r="D6" t="str">
        <x:f>IF(C6="","NOT STARTED",IF(EXACT(B6,C6),"MATCH","CHECK"))</x:f>
        <x:v>NOT STARTED</x:v>
      </x:c>
      <x:c r="E6" t="str">
        <x:v>SC</x:v>
      </x:c>
    </x:row>
    <x:row r="7">
      <x:c r="A7" t="str">
        <x:v>B-003</x:v>
      </x:c>
      <x:c r="B7" t="str">
        <x:v>Brookline Consulting 003</x:v>
      </x:c>
      <x:c r="D7" t="str">
        <x:f>IF(C7="","NOT STARTED",IF(EXACT(B7,C7),"MATCH","CHECK"))</x:f>
        <x:v>NOT STARTED</x:v>
      </x:c>
      <x:c r="E7" t="str">
        <x:v>VA</x:v>
      </x:c>
    </x:row>
    <x:row r="8">
      <x:c r="A8" t="str">
        <x:v>B-004</x:v>
      </x:c>
      <x:c r="B8" t="str">
        <x:v>Sable Consulting 004</x:v>
      </x:c>
      <x:c r="D8" t="str">
        <x:f>IF(C8="","NOT STARTED",IF(EXACT(B8,C8),"MATCH","CHECK"))</x:f>
        <x:v>NOT STARTED</x:v>
      </x:c>
      <x:c r="E8" t="str">
        <x:v>GA</x:v>
      </x:c>
    </x:row>
    <x:row r="9">
      <x:c r="A9" t="str">
        <x:v>B-005</x:v>
      </x:c>
      <x:c r="B9" t="str">
        <x:v>Everview Consulting 005</x:v>
      </x:c>
      <x:c r="D9" t="str">
        <x:f>IF(C9="","NOT STARTED",IF(EXACT(B9,C9),"MATCH","CHECK"))</x:f>
        <x:v>NOT STARTED</x:v>
      </x:c>
      <x:c r="E9" t="str">
        <x:v>FL</x:v>
      </x:c>
    </x:row>
    <x:row r="10">
      <x:c r="A10" t="str">
        <x:v>B-006</x:v>
      </x:c>
      <x:c r="B10" t="str">
        <x:v>Frostline Consulting 006</x:v>
      </x:c>
      <x:c r="D10" t="str">
        <x:f>IF(C10="","NOT STARTED",IF(EXACT(B10,C10),"MATCH","CHECK"))</x:f>
        <x:v>NOT STARTED</x:v>
      </x:c>
      <x:c r="E10" t="str">
        <x:v>TN</x:v>
      </x:c>
    </x:row>
    <x:row r="11">
      <x:c r="A11" t="str">
        <x:v>B-007</x:v>
      </x:c>
      <x:c r="B11" t="str">
        <x:v>Summit Consulting 007</x:v>
      </x:c>
      <x:c r="D11" t="str">
        <x:f>IF(C11="","NOT STARTED",IF(EXACT(B11,C11),"MATCH","CHECK"))</x:f>
        <x:v>NOT STARTED</x:v>
      </x:c>
      <x:c r="E11" t="str">
        <x:v>TX</x:v>
      </x:c>
    </x:row>
    <x:row r="12">
      <x:c r="A12" t="str">
        <x:v>B-008</x:v>
      </x:c>
      <x:c r="B12" t="str">
        <x:v>Pinefield Consulting 008</x:v>
      </x:c>
      <x:c r="D12" t="str">
        <x:f>IF(C12="","NOT STARTED",IF(EXACT(B12,C12),"MATCH","CHECK"))</x:f>
        <x:v>NOT STARTED</x:v>
      </x:c>
      <x:c r="E12" t="str">
        <x:v>MD</x:v>
      </x:c>
    </x:row>
    <x:row r="13">
      <x:c r="A13" t="str">
        <x:v>B-009</x:v>
      </x:c>
      <x:c r="B13" t="str">
        <x:v>Mariner Consulting 009</x:v>
      </x:c>
      <x:c r="D13" t="str">
        <x:f>IF(C13="","NOT STARTED",IF(EXACT(B13,C13),"MATCH","CHECK"))</x:f>
        <x:v>NOT STARTED</x:v>
      </x:c>
      <x:c r="E13" t="str">
        <x:v>NC</x:v>
      </x:c>
    </x:row>
    <x:row r="14">
      <x:c r="A14" t="str">
        <x:v>B-010</x:v>
      </x:c>
      <x:c r="B14" t="str">
        <x:v>White Oak Consulting 010</x:v>
      </x:c>
      <x:c r="D14" t="str">
        <x:f>IF(C14="","NOT STARTED",IF(EXACT(B14,C14),"MATCH","CHECK"))</x:f>
        <x:v>NOT STARTED</x:v>
      </x:c>
      <x:c r="E14" t="str">
        <x:v>SC</x:v>
      </x:c>
    </x:row>
    <x:row r="15">
      <x:c r="A15" t="str">
        <x:v>B-011</x:v>
      </x:c>
      <x:c r="B15" t="str">
        <x:v>Silvercrest Consulting 011</x:v>
      </x:c>
      <x:c r="D15" t="str">
        <x:f>IF(C15="","NOT STARTED",IF(EXACT(B15,C15),"MATCH","CHECK"))</x:f>
        <x:v>NOT STARTED</x:v>
      </x:c>
      <x:c r="E15" t="str">
        <x:v>VA</x:v>
      </x:c>
    </x:row>
    <x:row r="16">
      <x:c r="A16" t="str">
        <x:v>B-012</x:v>
      </x:c>
      <x:c r="B16" t="str">
        <x:v>Ironwood Consulting 012</x:v>
      </x:c>
      <x:c r="D16" t="str">
        <x:f>IF(C16="","NOT STARTED",IF(EXACT(B16,C16),"MATCH","CHECK"))</x:f>
        <x:v>NOT STARTED</x:v>
      </x:c>
      <x:c r="E16" t="str">
        <x:v>GA</x:v>
      </x:c>
    </x:row>
    <x:row r="17">
      <x:c r="A17" t="str">
        <x:v>B-013</x:v>
      </x:c>
      <x:c r="B17" t="str">
        <x:v>Clearwater Consulting 013</x:v>
      </x:c>
      <x:c r="D17" t="str">
        <x:f>IF(C17="","NOT STARTED",IF(EXACT(B17,C17),"MATCH","CHECK"))</x:f>
        <x:v>NOT STARTED</x:v>
      </x:c>
      <x:c r="E17" t="str">
        <x:v>FL</x:v>
      </x:c>
    </x:row>
    <x:row r="18">
      <x:c r="A18" t="str">
        <x:v>B-014</x:v>
      </x:c>
      <x:c r="B18" t="str">
        <x:v>Stonebridge Consulting 014</x:v>
      </x:c>
      <x:c r="D18" t="str">
        <x:f>IF(C18="","NOT STARTED",IF(EXACT(B18,C18),"MATCH","CHECK"))</x:f>
        <x:v>NOT STARTED</x:v>
      </x:c>
      <x:c r="E18" t="str">
        <x:v>TN</x:v>
      </x:c>
    </x:row>
    <x:row r="19">
      <x:c r="A19" t="str">
        <x:v>B-015</x:v>
      </x:c>
      <x:c r="B19" t="str">
        <x:v>Brighton Consulting 015</x:v>
      </x:c>
      <x:c r="D19" t="str">
        <x:f>IF(C19="","NOT STARTED",IF(EXACT(B19,C19),"MATCH","CHECK"))</x:f>
        <x:v>NOT STARTED</x:v>
      </x:c>
      <x:c r="E19" t="str">
        <x:v>TX</x:v>
      </x:c>
    </x:row>
    <x:row r="20">
      <x:c r="A20" t="str">
        <x:v>B-016</x:v>
      </x:c>
      <x:c r="B20" t="str">
        <x:v>Northfield Office Services 016</x:v>
      </x:c>
      <x:c r="D20" t="str">
        <x:f>IF(C20="","NOT STARTED",IF(EXACT(B20,C20),"MATCH","CHECK"))</x:f>
        <x:v>NOT STARTED</x:v>
      </x:c>
      <x:c r="E20" t="str">
        <x:v>MD</x:v>
      </x:c>
    </x:row>
    <x:row r="21">
      <x:c r="A21" t="str">
        <x:v>B-017</x:v>
      </x:c>
      <x:c r="B21" t="str">
        <x:v>Cedarwood Office Services 017</x:v>
      </x:c>
      <x:c r="D21" t="str">
        <x:f>IF(C21="","NOT STARTED",IF(EXACT(B21,C21),"MATCH","CHECK"))</x:f>
        <x:v>NOT STARTED</x:v>
      </x:c>
      <x:c r="E21" t="str">
        <x:v>NC</x:v>
      </x:c>
    </x:row>
    <x:row r="22">
      <x:c r="A22" t="str">
        <x:v>B-018</x:v>
      </x:c>
      <x:c r="B22" t="str">
        <x:v>Brookline Office Services 018</x:v>
      </x:c>
      <x:c r="D22" t="str">
        <x:f>IF(C22="","NOT STARTED",IF(EXACT(B22,C22),"MATCH","CHECK"))</x:f>
        <x:v>NOT STARTED</x:v>
      </x:c>
      <x:c r="E22" t="str">
        <x:v>SC</x:v>
      </x:c>
    </x:row>
    <x:row r="23">
      <x:c r="A23" t="str">
        <x:v>B-019</x:v>
      </x:c>
      <x:c r="B23" t="str">
        <x:v>Sable Office Services 019</x:v>
      </x:c>
      <x:c r="D23" t="str">
        <x:f>IF(C23="","NOT STARTED",IF(EXACT(B23,C23),"MATCH","CHECK"))</x:f>
        <x:v>NOT STARTED</x:v>
      </x:c>
      <x:c r="E23" t="str">
        <x:v>VA</x:v>
      </x:c>
    </x:row>
    <x:row r="24">
      <x:c r="A24" t="str">
        <x:v>B-020</x:v>
      </x:c>
      <x:c r="B24" t="str">
        <x:v>Everview Office Services 020</x:v>
      </x:c>
      <x:c r="D24" t="str">
        <x:f>IF(C24="","NOT STARTED",IF(EXACT(B24,C24),"MATCH","CHECK"))</x:f>
        <x:v>NOT STARTED</x:v>
      </x:c>
      <x:c r="E24" t="str">
        <x:v>GA</x:v>
      </x:c>
    </x:row>
    <x:row r="25">
      <x:c r="A25" t="str">
        <x:v>B-021</x:v>
      </x:c>
      <x:c r="B25" t="str">
        <x:v>Frostline Office Services 021</x:v>
      </x:c>
      <x:c r="D25" t="str">
        <x:f>IF(C25="","NOT STARTED",IF(EXACT(B25,C25),"MATCH","CHECK"))</x:f>
        <x:v>NOT STARTED</x:v>
      </x:c>
      <x:c r="E25" t="str">
        <x:v>FL</x:v>
      </x:c>
    </x:row>
    <x:row r="26">
      <x:c r="A26" t="str">
        <x:v>B-022</x:v>
      </x:c>
      <x:c r="B26" t="str">
        <x:v>Summit Office Services 022</x:v>
      </x:c>
      <x:c r="D26" t="str">
        <x:f>IF(C26="","NOT STARTED",IF(EXACT(B26,C26),"MATCH","CHECK"))</x:f>
        <x:v>NOT STARTED</x:v>
      </x:c>
      <x:c r="E26" t="str">
        <x:v>TN</x:v>
      </x:c>
    </x:row>
    <x:row r="27">
      <x:c r="A27" t="str">
        <x:v>B-023</x:v>
      </x:c>
      <x:c r="B27" t="str">
        <x:v>Pinefield Office Services 023</x:v>
      </x:c>
      <x:c r="D27" t="str">
        <x:f>IF(C27="","NOT STARTED",IF(EXACT(B27,C27),"MATCH","CHECK"))</x:f>
        <x:v>NOT STARTED</x:v>
      </x:c>
      <x:c r="E27" t="str">
        <x:v>TX</x:v>
      </x:c>
    </x:row>
    <x:row r="28">
      <x:c r="A28" t="str">
        <x:v>B-024</x:v>
      </x:c>
      <x:c r="B28" t="str">
        <x:v>Mariner Office Services 024</x:v>
      </x:c>
      <x:c r="D28" t="str">
        <x:f>IF(C28="","NOT STARTED",IF(EXACT(B28,C28),"MATCH","CHECK"))</x:f>
        <x:v>NOT STARTED</x:v>
      </x:c>
      <x:c r="E28" t="str">
        <x:v>MD</x:v>
      </x:c>
    </x:row>
    <x:row r="29">
      <x:c r="A29" t="str">
        <x:v>B-025</x:v>
      </x:c>
      <x:c r="B29" t="str">
        <x:v>White Oak Office Services 025</x:v>
      </x:c>
      <x:c r="D29" t="str">
        <x:f>IF(C29="","NOT STARTED",IF(EXACT(B29,C29),"MATCH","CHECK"))</x:f>
        <x:v>NOT STARTED</x:v>
      </x:c>
      <x:c r="E29" t="str">
        <x:v>NC</x:v>
      </x:c>
    </x:row>
    <x:row r="30">
      <x:c r="A30" t="str">
        <x:v>B-026</x:v>
      </x:c>
      <x:c r="B30" t="str">
        <x:v>Silvercrest Office Services 026</x:v>
      </x:c>
      <x:c r="D30" t="str">
        <x:f>IF(C30="","NOT STARTED",IF(EXACT(B30,C30),"MATCH","CHECK"))</x:f>
        <x:v>NOT STARTED</x:v>
      </x:c>
      <x:c r="E30" t="str">
        <x:v>SC</x:v>
      </x:c>
    </x:row>
    <x:row r="31">
      <x:c r="A31" t="str">
        <x:v>B-027</x:v>
      </x:c>
      <x:c r="B31" t="str">
        <x:v>Ironwood Office Services 027</x:v>
      </x:c>
      <x:c r="D31" t="str">
        <x:f>IF(C31="","NOT STARTED",IF(EXACT(B31,C31),"MATCH","CHECK"))</x:f>
        <x:v>NOT STARTED</x:v>
      </x:c>
      <x:c r="E31" t="str">
        <x:v>VA</x:v>
      </x:c>
    </x:row>
    <x:row r="32">
      <x:c r="A32" t="str">
        <x:v>B-028</x:v>
      </x:c>
      <x:c r="B32" t="str">
        <x:v>Clearwater Office Services 028</x:v>
      </x:c>
      <x:c r="D32" t="str">
        <x:f>IF(C32="","NOT STARTED",IF(EXACT(B32,C32),"MATCH","CHECK"))</x:f>
        <x:v>NOT STARTED</x:v>
      </x:c>
      <x:c r="E32" t="str">
        <x:v>GA</x:v>
      </x:c>
    </x:row>
    <x:row r="33">
      <x:c r="A33" t="str">
        <x:v>B-029</x:v>
      </x:c>
      <x:c r="B33" t="str">
        <x:v>Stonebridge Office Services 029</x:v>
      </x:c>
      <x:c r="D33" t="str">
        <x:f>IF(C33="","NOT STARTED",IF(EXACT(B33,C33),"MATCH","CHECK"))</x:f>
        <x:v>NOT STARTED</x:v>
      </x:c>
      <x:c r="E33" t="str">
        <x:v>FL</x:v>
      </x:c>
    </x:row>
    <x:row r="34">
      <x:c r="A34" t="str">
        <x:v>B-030</x:v>
      </x:c>
      <x:c r="B34" t="str">
        <x:v>Brighton Office Services 030</x:v>
      </x:c>
      <x:c r="D34" t="str">
        <x:f>IF(C34="","NOT STARTED",IF(EXACT(B34,C34),"MATCH","CHECK"))</x:f>
        <x:v>NOT STARTED</x:v>
      </x:c>
      <x:c r="E34" t="str">
        <x:v>TN</x:v>
      </x:c>
    </x:row>
    <x:row r="35">
      <x:c r="A35" t="str">
        <x:v>B-031</x:v>
      </x:c>
      <x:c r="B35" t="str">
        <x:v>Northfield Distribution 031</x:v>
      </x:c>
      <x:c r="D35" t="str">
        <x:f>IF(C35="","NOT STARTED",IF(EXACT(B35,C35),"MATCH","CHECK"))</x:f>
        <x:v>NOT STARTED</x:v>
      </x:c>
      <x:c r="E35" t="str">
        <x:v>TX</x:v>
      </x:c>
    </x:row>
    <x:row r="36">
      <x:c r="A36" t="str">
        <x:v>B-032</x:v>
      </x:c>
      <x:c r="B36" t="str">
        <x:v>Cedarwood Distribution 032</x:v>
      </x:c>
      <x:c r="D36" t="str">
        <x:f>IF(C36="","NOT STARTED",IF(EXACT(B36,C36),"MATCH","CHECK"))</x:f>
        <x:v>NOT STARTED</x:v>
      </x:c>
      <x:c r="E36" t="str">
        <x:v>MD</x:v>
      </x:c>
    </x:row>
    <x:row r="37">
      <x:c r="A37" t="str">
        <x:v>B-033</x:v>
      </x:c>
      <x:c r="B37" t="str">
        <x:v>Brookline Distribution 033</x:v>
      </x:c>
      <x:c r="D37" t="str">
        <x:f>IF(C37="","NOT STARTED",IF(EXACT(B37,C37),"MATCH","CHECK"))</x:f>
        <x:v>NOT STARTED</x:v>
      </x:c>
      <x:c r="E37" t="str">
        <x:v>NC</x:v>
      </x:c>
    </x:row>
    <x:row r="38">
      <x:c r="A38" t="str">
        <x:v>B-034</x:v>
      </x:c>
      <x:c r="B38" t="str">
        <x:v>Sable Distribution 034</x:v>
      </x:c>
      <x:c r="D38" t="str">
        <x:f>IF(C38="","NOT STARTED",IF(EXACT(B38,C38),"MATCH","CHECK"))</x:f>
        <x:v>NOT STARTED</x:v>
      </x:c>
      <x:c r="E38" t="str">
        <x:v>SC</x:v>
      </x:c>
    </x:row>
    <x:row r="39">
      <x:c r="A39" t="str">
        <x:v>B-035</x:v>
      </x:c>
      <x:c r="B39" t="str">
        <x:v>Everview Distribution 035</x:v>
      </x:c>
      <x:c r="D39" t="str">
        <x:f>IF(C39="","NOT STARTED",IF(EXACT(B39,C39),"MATCH","CHECK"))</x:f>
        <x:v>NOT STARTED</x:v>
      </x:c>
      <x:c r="E39" t="str">
        <x:v>VA</x:v>
      </x:c>
    </x:row>
    <x:row r="40">
      <x:c r="A40" t="str">
        <x:v>B-036</x:v>
      </x:c>
      <x:c r="B40" t="str">
        <x:v>Frostline Distribution 036</x:v>
      </x:c>
      <x:c r="D40" t="str">
        <x:f>IF(C40="","NOT STARTED",IF(EXACT(B40,C40),"MATCH","CHECK"))</x:f>
        <x:v>NOT STARTED</x:v>
      </x:c>
      <x:c r="E40" t="str">
        <x:v>GA</x:v>
      </x:c>
    </x:row>
    <x:row r="41">
      <x:c r="A41" t="str">
        <x:v>B-037</x:v>
      </x:c>
      <x:c r="B41" t="str">
        <x:v>Summit Distribution 037</x:v>
      </x:c>
      <x:c r="D41" t="str">
        <x:f>IF(C41="","NOT STARTED",IF(EXACT(B41,C41),"MATCH","CHECK"))</x:f>
        <x:v>NOT STARTED</x:v>
      </x:c>
      <x:c r="E41" t="str">
        <x:v>FL</x:v>
      </x:c>
    </x:row>
    <x:row r="42">
      <x:c r="A42" t="str">
        <x:v>B-038</x:v>
      </x:c>
      <x:c r="B42" t="str">
        <x:v>Pinefield Distribution 038</x:v>
      </x:c>
      <x:c r="D42" t="str">
        <x:f>IF(C42="","NOT STARTED",IF(EXACT(B42,C42),"MATCH","CHECK"))</x:f>
        <x:v>NOT STARTED</x:v>
      </x:c>
      <x:c r="E42" t="str">
        <x:v>TN</x:v>
      </x:c>
    </x:row>
    <x:row r="43">
      <x:c r="A43" t="str">
        <x:v>B-039</x:v>
      </x:c>
      <x:c r="B43" t="str">
        <x:v>Mariner Distribution 039</x:v>
      </x:c>
      <x:c r="D43" t="str">
        <x:f>IF(C43="","NOT STARTED",IF(EXACT(B43,C43),"MATCH","CHECK"))</x:f>
        <x:v>NOT STARTED</x:v>
      </x:c>
      <x:c r="E43" t="str">
        <x:v>TX</x:v>
      </x:c>
    </x:row>
    <x:row r="44">
      <x:c r="A44" t="str">
        <x:v>B-040</x:v>
      </x:c>
      <x:c r="B44" t="str">
        <x:v>White Oak Distribution 040</x:v>
      </x:c>
      <x:c r="D44" t="str">
        <x:f>IF(C44="","NOT STARTED",IF(EXACT(B44,C44),"MATCH","CHECK"))</x:f>
        <x:v>NOT STARTED</x:v>
      </x:c>
      <x:c r="E44" t="str">
        <x:v>MD</x:v>
      </x:c>
    </x:row>
    <x:row r="47">
      <x:c r="A47" t="str">
        <x:v>Metric</x:v>
      </x:c>
      <x:c r="B47" t="str">
        <x:v>Live result</x:v>
      </x:c>
    </x:row>
    <x:row r="48">
      <x:c r="A48" t="str">
        <x:v>Exact matching names</x:v>
      </x:c>
      <x:c r="B48" t="n">
        <x:f>COUNTIF(D5:D44,"MATCH")</x:f>
        <x:v>0</x:v>
      </x:c>
    </x:row>
    <x:row r="49">
      <x:c r="A49" t="str">
        <x:v>Rows attempted</x:v>
      </x:c>
      <x:c r="B49" t="n">
        <x:f>COUNTA(C5:C44)</x:f>
        <x:v>0</x:v>
      </x:c>
    </x:row>
    <x:row r="50">
      <x:c r="A50" t="str">
        <x:v>Typing accuracy</x:v>
      </x:c>
      <x:c r="B50" s="132" t="n">
        <x:f>IF(B49=0,0,B48/B49)</x:f>
        <x:v>0</x:v>
      </x:c>
    </x:row>
  </x:sheetData>
  <x:mergeCells>
    <x:mergeCell ref="A1:F2"/>
  </x:mergeCells>
  <x:pageMargins left="0.7" right="0.7" top="0.75" bottom="0.75" header="0.3" footer="0.3"/>
</x:worksheet>
</file>